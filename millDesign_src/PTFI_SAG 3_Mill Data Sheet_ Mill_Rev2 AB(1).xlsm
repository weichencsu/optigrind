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workbookPr showInkAnnotation="0"/>
  <mc:AlternateContent xmlns:mc="http://schemas.openxmlformats.org/markup-compatibility/2006">
    <mc:Choice Requires="x15">
      <x15ac:absPath xmlns:x15ac="http://schemas.microsoft.com/office/spreadsheetml/2010/11/ac" url="https://fcx365-my.sharepoint.com/personal/abodhmag_fmi_com/Documents/PTFI/SAG3/"/>
    </mc:Choice>
  </mc:AlternateContent>
  <xr:revisionPtr revIDLastSave="0" documentId="8_{EE20CAAD-4FE4-49A4-A3CB-44F75629BB6B}" xr6:coauthVersionLast="45" xr6:coauthVersionMax="45" xr10:uidLastSave="{00000000-0000-0000-0000-000000000000}"/>
  <bookViews>
    <workbookView xWindow="-24120" yWindow="120" windowWidth="24240" windowHeight="13140" tabRatio="602" activeTab="1" xr2:uid="{00000000-000D-0000-FFFF-FFFF00000000}"/>
  </bookViews>
  <sheets>
    <sheet name="Export Summary" sheetId="1" r:id="rId1"/>
    <sheet name="Mill &amp; Process Data" sheetId="2" r:id="rId2"/>
    <sheet name="Liner Details" sheetId="3" r:id="rId3"/>
  </sheets>
  <definedNames>
    <definedName name="_xlnm.Print_Area" localSheetId="1">'Mill &amp; Process Data'!$A$1:$F$45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23" i="2" l="1"/>
  <c r="D42" i="2"/>
  <c r="D31" i="2"/>
  <c r="D30" i="2"/>
  <c r="D26" i="2"/>
  <c r="D25" i="2"/>
  <c r="D24" i="2"/>
</calcChain>
</file>

<file path=xl/sharedStrings.xml><?xml version="1.0" encoding="utf-8"?>
<sst xmlns="http://schemas.openxmlformats.org/spreadsheetml/2006/main" count="179" uniqueCount="126">
  <si>
    <t>This document was exported from Numbers.  Each table was converted to an Excel worksheet. All other objects on each Numbers sheet were placed on separate worksheets. Please be aware that formula calculations may differ in Excel.</t>
  </si>
  <si>
    <t>Numbers Sheet Name</t>
  </si>
  <si>
    <t>Numbers Table Name</t>
  </si>
  <si>
    <t>Excel Worksheet Name</t>
  </si>
  <si>
    <t>Mill &amp; Process Data</t>
  </si>
  <si>
    <t>Table 1</t>
  </si>
  <si>
    <t>Operator:</t>
  </si>
  <si>
    <t>Name &amp; Location:</t>
  </si>
  <si>
    <t>Contact:</t>
  </si>
  <si>
    <t>Position:</t>
  </si>
  <si>
    <t>Phone No.:</t>
  </si>
  <si>
    <t>Mobile No.:</t>
  </si>
  <si>
    <t>Fax No.:</t>
  </si>
  <si>
    <t>E-mail:</t>
  </si>
  <si>
    <t>Name of Mill:</t>
  </si>
  <si>
    <t>Type of Mill:</t>
  </si>
  <si>
    <t>SAG / AG / Ball / Rod</t>
  </si>
  <si>
    <t>Manufacturer:</t>
  </si>
  <si>
    <t>Diameter ID: - m</t>
  </si>
  <si>
    <t>Length of Shell: - m</t>
  </si>
  <si>
    <t>F.E Trunnion ID: - m</t>
  </si>
  <si>
    <t>Grate Discharge: Y/N</t>
  </si>
  <si>
    <t>D.E Trunnion ID: - m</t>
  </si>
  <si>
    <t>Mill Operation: Wet / Dry</t>
  </si>
  <si>
    <t>Overflow: Y/N</t>
  </si>
  <si>
    <t xml:space="preserve"> - FE &amp; DE Heads:</t>
  </si>
  <si>
    <t>Bolt Size: - mm</t>
  </si>
  <si>
    <t>Rubber Backing Thickness:  - mm</t>
  </si>
  <si>
    <t>Reline Machine (Make)</t>
  </si>
  <si>
    <t>SWL Capacity (kgs)</t>
  </si>
  <si>
    <t>Mill Speed Range (RPM):</t>
  </si>
  <si>
    <t>Min. - Max.</t>
  </si>
  <si>
    <t>Variable / Fixed Speed:</t>
  </si>
  <si>
    <t>Typical RPM:</t>
  </si>
  <si>
    <t>Uni / Bi-Directional:</t>
  </si>
  <si>
    <t xml:space="preserve">Mill Speed Range (%Critical): </t>
  </si>
  <si>
    <t>Direction of Rotation: - FE to DE</t>
  </si>
  <si>
    <t>Typical %Nc:</t>
  </si>
  <si>
    <t>Total % Mill Volume:</t>
  </si>
  <si>
    <t>% Steel Ball Load:</t>
  </si>
  <si>
    <t>Top Size Steel Ball: - mm</t>
  </si>
  <si>
    <t>Ore Feed Size F80 - mm</t>
  </si>
  <si>
    <t>Ore Passing Size P80 - mm</t>
  </si>
  <si>
    <t>New Feed:  - t/h</t>
  </si>
  <si>
    <t>Recycle Load: - t/h</t>
  </si>
  <si>
    <t>Ore Type:</t>
  </si>
  <si>
    <t>Gold / Copper / Nickel / Lead-Zinc / Iron / Other</t>
  </si>
  <si>
    <t>Bond Work Index: (kWh/t)</t>
  </si>
  <si>
    <t>Density:</t>
  </si>
  <si>
    <t xml:space="preserve">kg/m3 </t>
  </si>
  <si>
    <t>Rock Data &amp; Size Classification</t>
  </si>
  <si>
    <t>Rock Class</t>
  </si>
  <si>
    <t>%</t>
  </si>
  <si>
    <t>Media Supplier:</t>
  </si>
  <si>
    <t>Ball Size &amp; Distribution</t>
  </si>
  <si>
    <t>Ball Class</t>
  </si>
  <si>
    <t>Liner Details</t>
  </si>
  <si>
    <t>6./ LINER DETAILS</t>
  </si>
  <si>
    <t>FEED END</t>
  </si>
  <si>
    <t>Supplier:</t>
  </si>
  <si>
    <t>Material Type:</t>
  </si>
  <si>
    <t>Steel / Rubber / Polymet</t>
  </si>
  <si>
    <t>Material Grade:</t>
  </si>
  <si>
    <t xml:space="preserve">Liner Type: </t>
  </si>
  <si>
    <t>Integral / Plate &amp; Lifter</t>
  </si>
  <si>
    <t>No. of Rows:</t>
  </si>
  <si>
    <t>Throat Liner</t>
  </si>
  <si>
    <t>No. of Segments per Row:</t>
  </si>
  <si>
    <t>Inner</t>
  </si>
  <si>
    <t>Middle</t>
  </si>
  <si>
    <t>Outer</t>
  </si>
  <si>
    <t>Plate Thickness:</t>
  </si>
  <si>
    <t>Max. Lifter Height:</t>
  </si>
  <si>
    <t>Above Plate</t>
  </si>
  <si>
    <t>Lifter Face Angle:</t>
  </si>
  <si>
    <t>SHELL</t>
  </si>
  <si>
    <t>Top Hat / Rail / Plate &amp; Lifter</t>
  </si>
  <si>
    <t>Liner Configuration:</t>
  </si>
  <si>
    <t>High / High or High / Low</t>
  </si>
  <si>
    <t>No. of Rows around the Mill:</t>
  </si>
  <si>
    <t>No. of Liner along the Length:</t>
  </si>
  <si>
    <t>Rubber Widgets used: Y/N</t>
  </si>
  <si>
    <t>High</t>
  </si>
  <si>
    <t>Low</t>
  </si>
  <si>
    <t>Lifter Height above Plate:</t>
  </si>
  <si>
    <t>Lifter Top Face Width:</t>
  </si>
  <si>
    <t>Lifter Base Width</t>
  </si>
  <si>
    <t>DISCHARGE END</t>
  </si>
  <si>
    <t>Liners &amp; Grates</t>
  </si>
  <si>
    <t>Lifter above the Plate:</t>
  </si>
  <si>
    <t>Bridging / Cantilever</t>
  </si>
  <si>
    <t>Slot Size:</t>
  </si>
  <si>
    <t>Pebble Port Size:</t>
  </si>
  <si>
    <t>Open Area Per Grate: - m/2</t>
  </si>
  <si>
    <t>Total Grate % Open Area:</t>
  </si>
  <si>
    <t>Pulp Lifters</t>
  </si>
  <si>
    <t xml:space="preserve">Steel / Rubber </t>
  </si>
  <si>
    <t>Discharge Cone</t>
  </si>
  <si>
    <t>Pulp Cavity:</t>
  </si>
  <si>
    <t>Parrallel / Tapered</t>
  </si>
  <si>
    <t>Pulp Lifter Height above Plate:</t>
  </si>
  <si>
    <t>Outer Pulp to Discharge Cone</t>
  </si>
  <si>
    <t>SAG</t>
  </si>
  <si>
    <t>Wet</t>
  </si>
  <si>
    <t>Variable</t>
  </si>
  <si>
    <t>Y</t>
  </si>
  <si>
    <t>No. of Rows Drilled:    - Shell:</t>
  </si>
  <si>
    <t>Cone Angle - Degrees</t>
  </si>
  <si>
    <t>Molycop</t>
  </si>
  <si>
    <t>2./ SITE DETAILS</t>
  </si>
  <si>
    <t>3./ MILL DATA</t>
  </si>
  <si>
    <t>4./ OPERATION</t>
  </si>
  <si>
    <t>5./ ORE DATA</t>
  </si>
  <si>
    <t>6./ MEDIA DATA</t>
  </si>
  <si>
    <t>Total Height:</t>
  </si>
  <si>
    <t xml:space="preserve"> </t>
  </si>
  <si>
    <r>
      <t xml:space="preserve">1./ DASHBOARD - MILL DESIGN DATA - confirm mill data in </t>
    </r>
    <r>
      <rPr>
        <b/>
        <sz val="16"/>
        <color rgb="FFFF0000"/>
        <rFont val="Arial"/>
        <family val="2"/>
      </rPr>
      <t>RED</t>
    </r>
  </si>
  <si>
    <t xml:space="preserve">PT Freeport </t>
  </si>
  <si>
    <t>Indonesia</t>
  </si>
  <si>
    <t>epurnmo@fmi.com</t>
  </si>
  <si>
    <t>BI</t>
  </si>
  <si>
    <t>Copper</t>
  </si>
  <si>
    <t>SAG 3</t>
  </si>
  <si>
    <t>73.8 - 81.5</t>
  </si>
  <si>
    <t>9.26 - 10.2</t>
  </si>
  <si>
    <t>Size Classification Range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</si>
</sst>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mm&quot; &quot;d&quot;, &quot;yyyy"/>
    <numFmt numFmtId="165" formatCode="#\ #/#"/>
    <numFmt numFmtId="166" formatCode="0.0"/>
    <numFmt numFmtId="167" formatCode="0.000"/>
  </numFmts>
  <fonts count="30">
    <font>
      <sz val="10"/>
      <color indexed="8"/>
      <name val="Helvetica"/>
    </font>
    <font>
      <sz val="12"/>
      <color indexed="8"/>
      <name val="Helvetica"/>
    </font>
    <font>
      <sz val="14"/>
      <color indexed="8"/>
      <name val="Helvetica"/>
    </font>
    <font>
      <sz val="10"/>
      <color indexed="8"/>
      <name val="Arial"/>
      <family val="2"/>
    </font>
    <font>
      <u/>
      <sz val="12"/>
      <color indexed="11"/>
      <name val="Helvetica"/>
    </font>
    <font>
      <b/>
      <sz val="48"/>
      <color indexed="13"/>
      <name val="Arial"/>
      <family val="2"/>
    </font>
    <font>
      <b/>
      <sz val="36"/>
      <color indexed="13"/>
      <name val="Comic Sans MS"/>
      <family val="4"/>
    </font>
    <font>
      <b/>
      <sz val="16"/>
      <color indexed="12"/>
      <name val="Arial"/>
      <family val="2"/>
    </font>
    <font>
      <sz val="14"/>
      <color indexed="12"/>
      <name val="Arial"/>
      <family val="2"/>
    </font>
    <font>
      <b/>
      <sz val="14"/>
      <color indexed="8"/>
      <name val="Arial"/>
      <family val="2"/>
    </font>
    <font>
      <sz val="14"/>
      <color indexed="8"/>
      <name val="Arial"/>
      <family val="2"/>
    </font>
    <font>
      <sz val="14"/>
      <color indexed="15"/>
      <name val="Arial"/>
      <family val="2"/>
    </font>
    <font>
      <sz val="14"/>
      <color indexed="16"/>
      <name val="Arial"/>
      <family val="2"/>
    </font>
    <font>
      <b/>
      <sz val="14"/>
      <color indexed="12"/>
      <name val="Arial"/>
      <family val="2"/>
    </font>
    <font>
      <b/>
      <sz val="14"/>
      <color indexed="17"/>
      <name val="Arial"/>
      <family val="2"/>
    </font>
    <font>
      <sz val="14"/>
      <color indexed="17"/>
      <name val="Arial"/>
      <family val="2"/>
    </font>
    <font>
      <b/>
      <sz val="14"/>
      <color indexed="19"/>
      <name val="Arial"/>
      <family val="2"/>
    </font>
    <font>
      <sz val="14"/>
      <color indexed="19"/>
      <name val="Arial"/>
      <family val="2"/>
    </font>
    <font>
      <b/>
      <sz val="48"/>
      <color indexed="8"/>
      <name val="Eurostile"/>
    </font>
    <font>
      <sz val="24"/>
      <color indexed="8"/>
      <name val="Eurostile"/>
    </font>
    <font>
      <u/>
      <sz val="10"/>
      <color theme="10"/>
      <name val="Helvetica"/>
    </font>
    <font>
      <b/>
      <sz val="20"/>
      <color rgb="FFFF0000"/>
      <name val="Arial"/>
      <family val="2"/>
    </font>
    <font>
      <b/>
      <sz val="22"/>
      <color indexed="8"/>
      <name val="Arial"/>
      <family val="2"/>
    </font>
    <font>
      <b/>
      <sz val="24"/>
      <color indexed="8"/>
      <name val="Arial"/>
      <family val="2"/>
    </font>
    <font>
      <sz val="36"/>
      <color indexed="8"/>
      <name val="Arial"/>
      <family val="2"/>
    </font>
    <font>
      <b/>
      <sz val="22"/>
      <color rgb="FFFF0000"/>
      <name val="Arial"/>
      <family val="2"/>
    </font>
    <font>
      <sz val="14"/>
      <color indexed="15"/>
      <name val="Arial"/>
      <family val="2"/>
    </font>
    <font>
      <sz val="28"/>
      <color rgb="FFFF0000"/>
      <name val="Calibri"/>
      <family val="2"/>
    </font>
    <font>
      <b/>
      <sz val="18"/>
      <color rgb="FFFF0000"/>
      <name val="Arial"/>
      <family val="2"/>
    </font>
    <font>
      <b/>
      <sz val="16"/>
      <color rgb="FFFF0000"/>
      <name val="Arial"/>
      <family val="2"/>
    </font>
  </fonts>
  <fills count="7">
    <fill>
      <patternFill patternType="none"/>
    </fill>
    <fill>
      <patternFill patternType="gray125"/>
    </fill>
    <fill>
      <patternFill patternType="solid">
        <fgColor indexed="9"/>
        <bgColor auto="1"/>
      </patternFill>
    </fill>
    <fill>
      <patternFill patternType="solid">
        <fgColor indexed="10"/>
        <bgColor auto="1"/>
      </patternFill>
    </fill>
    <fill>
      <patternFill patternType="solid">
        <fgColor indexed="12"/>
        <bgColor auto="1"/>
      </patternFill>
    </fill>
    <fill>
      <patternFill patternType="solid">
        <fgColor indexed="14"/>
        <bgColor auto="1"/>
      </patternFill>
    </fill>
    <fill>
      <patternFill patternType="solid">
        <fgColor indexed="18"/>
        <bgColor auto="1"/>
      </patternFill>
    </fill>
  </fills>
  <borders count="37">
    <border>
      <left/>
      <right/>
      <top/>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top/>
      <bottom/>
      <diagonal/>
    </border>
    <border>
      <left/>
      <right style="medium">
        <color indexed="8"/>
      </right>
      <top/>
      <bottom/>
      <diagonal/>
    </border>
    <border>
      <left style="medium">
        <color indexed="8"/>
      </left>
      <right/>
      <top/>
      <bottom style="thin">
        <color indexed="8"/>
      </bottom>
      <diagonal/>
    </border>
    <border>
      <left/>
      <right/>
      <top/>
      <bottom style="thin">
        <color indexed="8"/>
      </bottom>
      <diagonal/>
    </border>
    <border>
      <left/>
      <right style="medium">
        <color indexed="8"/>
      </right>
      <top/>
      <bottom style="thin">
        <color indexed="8"/>
      </bottom>
      <diagonal/>
    </border>
    <border>
      <left style="medium">
        <color indexed="8"/>
      </left>
      <right/>
      <top style="thin">
        <color indexed="8"/>
      </top>
      <bottom/>
      <diagonal/>
    </border>
    <border>
      <left/>
      <right/>
      <top style="thin">
        <color indexed="8"/>
      </top>
      <bottom/>
      <diagonal/>
    </border>
    <border>
      <left/>
      <right style="medium">
        <color indexed="8"/>
      </right>
      <top style="thin">
        <color indexed="8"/>
      </top>
      <bottom/>
      <diagonal/>
    </border>
    <border>
      <left/>
      <right style="thin">
        <color indexed="8"/>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medium">
        <color indexed="8"/>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medium">
        <color indexed="8"/>
      </right>
      <top/>
      <bottom style="thin">
        <color indexed="8"/>
      </bottom>
      <diagonal/>
    </border>
    <border>
      <left style="thin">
        <color indexed="8"/>
      </left>
      <right style="thin">
        <color indexed="8"/>
      </right>
      <top/>
      <bottom/>
      <diagonal/>
    </border>
    <border>
      <left/>
      <right style="medium">
        <color indexed="8"/>
      </right>
      <top style="thin">
        <color indexed="8"/>
      </top>
      <bottom style="thin">
        <color indexed="8"/>
      </bottom>
      <diagonal/>
    </border>
    <border>
      <left style="thin">
        <color indexed="8"/>
      </left>
      <right/>
      <top/>
      <bottom/>
      <diagonal/>
    </border>
    <border>
      <left style="thin">
        <color indexed="8"/>
      </left>
      <right/>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thin">
        <color indexed="8"/>
      </top>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style="medium">
        <color indexed="8"/>
      </left>
      <right style="thin">
        <color indexed="8"/>
      </right>
      <top/>
      <bottom/>
      <diagonal/>
    </border>
    <border>
      <left style="medium">
        <color indexed="8"/>
      </left>
      <right/>
      <top/>
      <bottom style="medium">
        <color indexed="8"/>
      </bottom>
      <diagonal/>
    </border>
    <border>
      <left/>
      <right/>
      <top style="thin">
        <color indexed="8"/>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thin">
        <color indexed="20"/>
      </right>
      <top style="thin">
        <color indexed="20"/>
      </top>
      <bottom style="thin">
        <color indexed="20"/>
      </bottom>
      <diagonal/>
    </border>
    <border>
      <left style="thin">
        <color indexed="20"/>
      </left>
      <right style="thin">
        <color indexed="20"/>
      </right>
      <top style="thin">
        <color indexed="20"/>
      </top>
      <bottom style="thin">
        <color indexed="20"/>
      </bottom>
      <diagonal/>
    </border>
    <border>
      <left/>
      <right style="thin">
        <color indexed="20"/>
      </right>
      <top style="thin">
        <color indexed="20"/>
      </top>
      <bottom style="thin">
        <color indexed="20"/>
      </bottom>
      <diagonal/>
    </border>
  </borders>
  <cellStyleXfs count="2">
    <xf numFmtId="0" fontId="0" fillId="0" borderId="0" applyNumberFormat="0" applyFill="0" applyBorder="0" applyProtection="0">
      <alignment vertical="top" wrapText="1"/>
    </xf>
    <xf numFmtId="0" fontId="20" fillId="0" borderId="0" applyNumberFormat="0" applyFill="0" applyBorder="0" applyAlignment="0" applyProtection="0">
      <alignment vertical="top" wrapText="1"/>
    </xf>
  </cellStyleXfs>
  <cellXfs count="147">
    <xf numFmtId="0" fontId="0" fillId="0" borderId="0" xfId="0" applyFont="1" applyAlignment="1">
      <alignment vertical="top" wrapText="1"/>
    </xf>
    <xf numFmtId="0" fontId="2" fillId="0" borderId="0" xfId="0" applyFont="1" applyAlignment="1">
      <alignment horizontal="left" vertical="top" wrapText="1"/>
    </xf>
    <xf numFmtId="0" fontId="1" fillId="2" borderId="0" xfId="0" applyFont="1" applyFill="1" applyAlignment="1">
      <alignment horizontal="left" vertical="top" wrapText="1"/>
    </xf>
    <xf numFmtId="0" fontId="1" fillId="3" borderId="0" xfId="0" applyFont="1" applyFill="1" applyAlignment="1">
      <alignment horizontal="left" vertical="top" wrapText="1"/>
    </xf>
    <xf numFmtId="0" fontId="4" fillId="3" borderId="0" xfId="0" applyFont="1" applyFill="1" applyAlignment="1">
      <alignment horizontal="left" vertical="top" wrapText="1"/>
    </xf>
    <xf numFmtId="0" fontId="3" fillId="0" borderId="0" xfId="0" applyNumberFormat="1" applyFont="1" applyAlignment="1"/>
    <xf numFmtId="1" fontId="3" fillId="4" borderId="1" xfId="0" applyNumberFormat="1" applyFont="1" applyFill="1" applyBorder="1" applyAlignment="1"/>
    <xf numFmtId="1" fontId="3" fillId="4" borderId="2" xfId="0" applyNumberFormat="1" applyFont="1" applyFill="1" applyBorder="1" applyAlignment="1"/>
    <xf numFmtId="1" fontId="3" fillId="4" borderId="3" xfId="0" applyNumberFormat="1" applyFont="1" applyFill="1" applyBorder="1" applyAlignment="1"/>
    <xf numFmtId="1" fontId="5" fillId="4" borderId="4" xfId="0" applyNumberFormat="1" applyFont="1" applyFill="1" applyBorder="1" applyAlignment="1">
      <alignment horizontal="center" vertical="center"/>
    </xf>
    <xf numFmtId="1" fontId="5" fillId="4" borderId="5" xfId="0" applyNumberFormat="1" applyFont="1" applyFill="1" applyBorder="1" applyAlignment="1">
      <alignment horizontal="center" vertical="center"/>
    </xf>
    <xf numFmtId="1" fontId="6" fillId="4" borderId="5" xfId="0" applyNumberFormat="1" applyFont="1" applyFill="1" applyBorder="1" applyAlignment="1">
      <alignment horizontal="center" vertical="center"/>
    </xf>
    <xf numFmtId="1" fontId="6" fillId="4" borderId="6" xfId="0" applyNumberFormat="1" applyFont="1" applyFill="1" applyBorder="1" applyAlignment="1">
      <alignment horizontal="center" vertical="center"/>
    </xf>
    <xf numFmtId="1" fontId="3" fillId="4" borderId="7" xfId="0" applyNumberFormat="1" applyFont="1" applyFill="1" applyBorder="1" applyAlignment="1"/>
    <xf numFmtId="1" fontId="3" fillId="4" borderId="8" xfId="0" applyNumberFormat="1" applyFont="1" applyFill="1" applyBorder="1" applyAlignment="1"/>
    <xf numFmtId="1" fontId="3" fillId="4" borderId="9" xfId="0" applyNumberFormat="1" applyFont="1" applyFill="1" applyBorder="1" applyAlignment="1"/>
    <xf numFmtId="49" fontId="7" fillId="5" borderId="10" xfId="0" applyNumberFormat="1" applyFont="1" applyFill="1" applyBorder="1" applyAlignment="1"/>
    <xf numFmtId="1" fontId="8" fillId="5" borderId="11" xfId="0" applyNumberFormat="1" applyFont="1" applyFill="1" applyBorder="1" applyAlignment="1"/>
    <xf numFmtId="1" fontId="8" fillId="5" borderId="12" xfId="0" applyNumberFormat="1" applyFont="1" applyFill="1" applyBorder="1" applyAlignment="1"/>
    <xf numFmtId="1" fontId="9" fillId="4" borderId="4" xfId="0" applyNumberFormat="1" applyFont="1" applyFill="1" applyBorder="1" applyAlignment="1"/>
    <xf numFmtId="1" fontId="10" fillId="4" borderId="5" xfId="0" applyNumberFormat="1" applyFont="1" applyFill="1" applyBorder="1" applyAlignment="1"/>
    <xf numFmtId="1" fontId="10" fillId="4" borderId="8" xfId="0" applyNumberFormat="1" applyFont="1" applyFill="1" applyBorder="1" applyAlignment="1"/>
    <xf numFmtId="1" fontId="10" fillId="0" borderId="6" xfId="0" applyNumberFormat="1" applyFont="1" applyBorder="1" applyAlignment="1"/>
    <xf numFmtId="49" fontId="9" fillId="4" borderId="13" xfId="0" applyNumberFormat="1" applyFont="1" applyFill="1" applyBorder="1" applyAlignment="1"/>
    <xf numFmtId="1" fontId="10" fillId="4" borderId="17" xfId="0" applyNumberFormat="1" applyFont="1" applyFill="1" applyBorder="1" applyAlignment="1"/>
    <xf numFmtId="1" fontId="10" fillId="4" borderId="4" xfId="0" applyNumberFormat="1" applyFont="1" applyFill="1" applyBorder="1" applyAlignment="1"/>
    <xf numFmtId="164" fontId="9" fillId="4" borderId="17" xfId="0" applyNumberFormat="1" applyFont="1" applyFill="1" applyBorder="1" applyAlignment="1">
      <alignment horizontal="center" vertical="center" wrapText="1"/>
    </xf>
    <xf numFmtId="1" fontId="11" fillId="4" borderId="18" xfId="0" applyNumberFormat="1" applyFont="1" applyFill="1" applyBorder="1" applyAlignment="1">
      <alignment horizontal="left"/>
    </xf>
    <xf numFmtId="49" fontId="9" fillId="4" borderId="19" xfId="0" applyNumberFormat="1" applyFont="1" applyFill="1" applyBorder="1" applyAlignment="1"/>
    <xf numFmtId="1" fontId="10" fillId="4" borderId="20" xfId="0" applyNumberFormat="1" applyFont="1" applyFill="1" applyBorder="1" applyAlignment="1">
      <alignment horizontal="center"/>
    </xf>
    <xf numFmtId="49" fontId="9" fillId="4" borderId="21" xfId="0" applyNumberFormat="1" applyFont="1" applyFill="1" applyBorder="1" applyAlignment="1">
      <alignment horizontal="right"/>
    </xf>
    <xf numFmtId="1" fontId="10" fillId="4" borderId="11" xfId="0" applyNumberFormat="1" applyFont="1" applyFill="1" applyBorder="1" applyAlignment="1"/>
    <xf numFmtId="1" fontId="10" fillId="4" borderId="12" xfId="0" applyNumberFormat="1" applyFont="1" applyFill="1" applyBorder="1" applyAlignment="1"/>
    <xf numFmtId="49" fontId="7" fillId="5" borderId="4" xfId="0" applyNumberFormat="1" applyFont="1" applyFill="1" applyBorder="1" applyAlignment="1"/>
    <xf numFmtId="1" fontId="8" fillId="5" borderId="5" xfId="0" applyNumberFormat="1" applyFont="1" applyFill="1" applyBorder="1" applyAlignment="1"/>
    <xf numFmtId="1" fontId="8" fillId="5" borderId="6" xfId="0" applyNumberFormat="1" applyFont="1" applyFill="1" applyBorder="1" applyAlignment="1"/>
    <xf numFmtId="1" fontId="10" fillId="4" borderId="6" xfId="0" applyNumberFormat="1" applyFont="1" applyFill="1" applyBorder="1" applyAlignment="1"/>
    <xf numFmtId="1" fontId="11" fillId="4" borderId="18" xfId="0" applyNumberFormat="1" applyFont="1" applyFill="1" applyBorder="1" applyAlignment="1">
      <alignment horizontal="center"/>
    </xf>
    <xf numFmtId="1" fontId="10" fillId="4" borderId="23" xfId="0" applyNumberFormat="1" applyFont="1" applyFill="1" applyBorder="1" applyAlignment="1"/>
    <xf numFmtId="49" fontId="10" fillId="4" borderId="23" xfId="0" applyNumberFormat="1" applyFont="1" applyFill="1" applyBorder="1" applyAlignment="1"/>
    <xf numFmtId="1" fontId="10" fillId="4" borderId="24" xfId="0" applyNumberFormat="1" applyFont="1" applyFill="1" applyBorder="1" applyAlignment="1"/>
    <xf numFmtId="1" fontId="11" fillId="4" borderId="18" xfId="0" applyNumberFormat="1" applyFont="1" applyFill="1" applyBorder="1" applyAlignment="1">
      <alignment horizontal="center" vertical="center"/>
    </xf>
    <xf numFmtId="165" fontId="12" fillId="4" borderId="18" xfId="0" applyNumberFormat="1" applyFont="1" applyFill="1" applyBorder="1" applyAlignment="1">
      <alignment horizontal="center" vertical="center"/>
    </xf>
    <xf numFmtId="1" fontId="10" fillId="4" borderId="9" xfId="0" applyNumberFormat="1" applyFont="1" applyFill="1" applyBorder="1" applyAlignment="1"/>
    <xf numFmtId="49" fontId="9" fillId="4" borderId="21" xfId="0" applyNumberFormat="1" applyFont="1" applyFill="1" applyBorder="1" applyAlignment="1"/>
    <xf numFmtId="1" fontId="11" fillId="4" borderId="25" xfId="0" applyNumberFormat="1" applyFont="1" applyFill="1" applyBorder="1" applyAlignment="1">
      <alignment horizontal="center"/>
    </xf>
    <xf numFmtId="1" fontId="10" fillId="4" borderId="26" xfId="0" applyNumberFormat="1" applyFont="1" applyFill="1" applyBorder="1" applyAlignment="1"/>
    <xf numFmtId="49" fontId="9" fillId="4" borderId="13" xfId="0" applyNumberFormat="1" applyFont="1" applyFill="1" applyBorder="1" applyAlignment="1">
      <alignment horizontal="left"/>
    </xf>
    <xf numFmtId="1" fontId="9" fillId="4" borderId="5" xfId="0" applyNumberFormat="1" applyFont="1" applyFill="1" applyBorder="1" applyAlignment="1"/>
    <xf numFmtId="49" fontId="9" fillId="4" borderId="13" xfId="0" applyNumberFormat="1" applyFont="1" applyFill="1" applyBorder="1" applyAlignment="1">
      <alignment horizontal="right"/>
    </xf>
    <xf numFmtId="1" fontId="9" fillId="4" borderId="5" xfId="0" applyNumberFormat="1" applyFont="1" applyFill="1" applyBorder="1" applyAlignment="1">
      <alignment horizontal="left"/>
    </xf>
    <xf numFmtId="1" fontId="11" fillId="4" borderId="11" xfId="0" applyNumberFormat="1" applyFont="1" applyFill="1" applyBorder="1" applyAlignment="1">
      <alignment horizontal="center"/>
    </xf>
    <xf numFmtId="1" fontId="11" fillId="4" borderId="12" xfId="0" applyNumberFormat="1" applyFont="1" applyFill="1" applyBorder="1" applyAlignment="1">
      <alignment horizontal="center"/>
    </xf>
    <xf numFmtId="1" fontId="13" fillId="5" borderId="5" xfId="0" applyNumberFormat="1" applyFont="1" applyFill="1" applyBorder="1" applyAlignment="1"/>
    <xf numFmtId="49" fontId="10" fillId="4" borderId="18" xfId="0" applyNumberFormat="1" applyFont="1" applyFill="1" applyBorder="1" applyAlignment="1"/>
    <xf numFmtId="1" fontId="10" fillId="4" borderId="14" xfId="0" applyNumberFormat="1" applyFont="1" applyFill="1" applyBorder="1" applyAlignment="1"/>
    <xf numFmtId="1" fontId="11" fillId="4" borderId="18" xfId="0" applyNumberFormat="1" applyFont="1" applyFill="1" applyBorder="1" applyAlignment="1"/>
    <xf numFmtId="49" fontId="9" fillId="4" borderId="27" xfId="0" applyNumberFormat="1" applyFont="1" applyFill="1" applyBorder="1" applyAlignment="1"/>
    <xf numFmtId="49" fontId="9" fillId="4" borderId="28" xfId="0" applyNumberFormat="1" applyFont="1" applyFill="1" applyBorder="1" applyAlignment="1"/>
    <xf numFmtId="49" fontId="10" fillId="4" borderId="17" xfId="0" applyNumberFormat="1" applyFont="1" applyFill="1" applyBorder="1" applyAlignment="1"/>
    <xf numFmtId="1" fontId="9" fillId="4" borderId="29" xfId="0" applyNumberFormat="1" applyFont="1" applyFill="1" applyBorder="1" applyAlignment="1"/>
    <xf numFmtId="49" fontId="14" fillId="4" borderId="18" xfId="0" applyNumberFormat="1" applyFont="1" applyFill="1" applyBorder="1" applyAlignment="1">
      <alignment horizontal="center"/>
    </xf>
    <xf numFmtId="0" fontId="14" fillId="4" borderId="18" xfId="0" applyNumberFormat="1" applyFont="1" applyFill="1" applyBorder="1" applyAlignment="1">
      <alignment horizontal="center"/>
    </xf>
    <xf numFmtId="1" fontId="10" fillId="4" borderId="29" xfId="0" applyNumberFormat="1" applyFont="1" applyFill="1" applyBorder="1" applyAlignment="1"/>
    <xf numFmtId="49" fontId="16" fillId="4" borderId="18" xfId="0" applyNumberFormat="1" applyFont="1" applyFill="1" applyBorder="1" applyAlignment="1">
      <alignment horizontal="center"/>
    </xf>
    <xf numFmtId="0" fontId="16" fillId="4" borderId="18" xfId="0" applyNumberFormat="1" applyFont="1" applyFill="1" applyBorder="1" applyAlignment="1">
      <alignment horizontal="center"/>
    </xf>
    <xf numFmtId="1" fontId="17" fillId="4" borderId="18" xfId="0" applyNumberFormat="1" applyFont="1" applyFill="1" applyBorder="1" applyAlignment="1">
      <alignment horizontal="center"/>
    </xf>
    <xf numFmtId="1" fontId="10" fillId="4" borderId="30" xfId="0" applyNumberFormat="1" applyFont="1" applyFill="1" applyBorder="1" applyAlignment="1"/>
    <xf numFmtId="1" fontId="9" fillId="4" borderId="31" xfId="0" applyNumberFormat="1" applyFont="1" applyFill="1" applyBorder="1" applyAlignment="1"/>
    <xf numFmtId="1" fontId="10" fillId="4" borderId="31" xfId="0" applyNumberFormat="1" applyFont="1" applyFill="1" applyBorder="1" applyAlignment="1"/>
    <xf numFmtId="1" fontId="10" fillId="4" borderId="32" xfId="0" applyNumberFormat="1" applyFont="1" applyFill="1" applyBorder="1" applyAlignment="1"/>
    <xf numFmtId="1" fontId="10" fillId="4" borderId="33" xfId="0" applyNumberFormat="1" applyFont="1" applyFill="1" applyBorder="1" applyAlignment="1"/>
    <xf numFmtId="0" fontId="3" fillId="0" borderId="0" xfId="0" applyNumberFormat="1" applyFont="1" applyAlignment="1"/>
    <xf numFmtId="0" fontId="3" fillId="0" borderId="34" xfId="0" applyFont="1" applyBorder="1" applyAlignment="1"/>
    <xf numFmtId="0" fontId="3" fillId="0" borderId="35" xfId="0" applyFont="1" applyBorder="1" applyAlignment="1"/>
    <xf numFmtId="1" fontId="19" fillId="0" borderId="35" xfId="0" applyNumberFormat="1" applyFont="1" applyBorder="1" applyAlignment="1"/>
    <xf numFmtId="49" fontId="10" fillId="4" borderId="24" xfId="0" applyNumberFormat="1" applyFont="1" applyFill="1" applyBorder="1" applyAlignment="1"/>
    <xf numFmtId="49" fontId="10" fillId="4" borderId="18" xfId="0" applyNumberFormat="1" applyFont="1" applyFill="1" applyBorder="1" applyAlignment="1">
      <alignment horizontal="left"/>
    </xf>
    <xf numFmtId="49" fontId="9" fillId="4" borderId="23" xfId="0" applyNumberFormat="1" applyFont="1" applyFill="1" applyBorder="1" applyAlignment="1"/>
    <xf numFmtId="1" fontId="10" fillId="4" borderId="21" xfId="0" applyNumberFormat="1" applyFont="1" applyFill="1" applyBorder="1" applyAlignment="1">
      <alignment horizontal="right"/>
    </xf>
    <xf numFmtId="1" fontId="9" fillId="4" borderId="15" xfId="0" applyNumberFormat="1" applyFont="1" applyFill="1" applyBorder="1" applyAlignment="1"/>
    <xf numFmtId="1" fontId="10" fillId="4" borderId="15" xfId="0" applyNumberFormat="1" applyFont="1" applyFill="1" applyBorder="1" applyAlignment="1"/>
    <xf numFmtId="49" fontId="9" fillId="4" borderId="21" xfId="0" applyNumberFormat="1" applyFont="1" applyFill="1" applyBorder="1" applyAlignment="1">
      <alignment horizontal="left"/>
    </xf>
    <xf numFmtId="1" fontId="9" fillId="4" borderId="23" xfId="0" applyNumberFormat="1" applyFont="1" applyFill="1" applyBorder="1" applyAlignment="1"/>
    <xf numFmtId="1" fontId="10" fillId="0" borderId="5" xfId="0" applyNumberFormat="1" applyFont="1" applyBorder="1" applyAlignment="1"/>
    <xf numFmtId="49" fontId="10" fillId="4" borderId="21" xfId="0" applyNumberFormat="1" applyFont="1" applyFill="1" applyBorder="1" applyAlignment="1"/>
    <xf numFmtId="1" fontId="10" fillId="4" borderId="14" xfId="0" applyNumberFormat="1" applyFont="1" applyFill="1" applyBorder="1" applyAlignment="1">
      <alignment horizontal="center"/>
    </xf>
    <xf numFmtId="1" fontId="10" fillId="4" borderId="15" xfId="0" applyNumberFormat="1" applyFont="1" applyFill="1" applyBorder="1" applyAlignment="1">
      <alignment horizontal="center"/>
    </xf>
    <xf numFmtId="1" fontId="10" fillId="4" borderId="22" xfId="0" applyNumberFormat="1" applyFont="1" applyFill="1" applyBorder="1" applyAlignment="1">
      <alignment horizontal="center"/>
    </xf>
    <xf numFmtId="49" fontId="9" fillId="6" borderId="18" xfId="0" applyNumberFormat="1" applyFont="1" applyFill="1" applyBorder="1" applyAlignment="1"/>
    <xf numFmtId="1" fontId="10" fillId="4" borderId="11" xfId="0" applyNumberFormat="1" applyFont="1" applyFill="1" applyBorder="1" applyAlignment="1">
      <alignment horizontal="center"/>
    </xf>
    <xf numFmtId="1" fontId="10" fillId="4" borderId="12" xfId="0" applyNumberFormat="1" applyFont="1" applyFill="1" applyBorder="1" applyAlignment="1">
      <alignment horizontal="center"/>
    </xf>
    <xf numFmtId="1" fontId="9" fillId="4" borderId="14" xfId="0" applyNumberFormat="1" applyFont="1" applyFill="1" applyBorder="1" applyAlignment="1"/>
    <xf numFmtId="1" fontId="10" fillId="4" borderId="2" xfId="0" applyNumberFormat="1" applyFont="1" applyFill="1" applyBorder="1" applyAlignment="1"/>
    <xf numFmtId="1" fontId="9" fillId="4" borderId="2" xfId="0" applyNumberFormat="1" applyFont="1" applyFill="1" applyBorder="1" applyAlignment="1"/>
    <xf numFmtId="0" fontId="3" fillId="0" borderId="36" xfId="0" applyFont="1" applyBorder="1" applyAlignment="1"/>
    <xf numFmtId="166" fontId="11" fillId="4" borderId="18" xfId="0" applyNumberFormat="1" applyFont="1" applyFill="1" applyBorder="1" applyAlignment="1">
      <alignment horizontal="center"/>
    </xf>
    <xf numFmtId="0" fontId="3" fillId="0" borderId="5" xfId="0" applyNumberFormat="1" applyFont="1" applyBorder="1" applyAlignment="1"/>
    <xf numFmtId="0" fontId="22" fillId="0" borderId="5" xfId="0" applyNumberFormat="1" applyFont="1" applyBorder="1" applyAlignment="1"/>
    <xf numFmtId="166" fontId="25" fillId="0" borderId="5" xfId="0" applyNumberFormat="1" applyFont="1" applyBorder="1" applyAlignment="1">
      <alignment horizontal="left"/>
    </xf>
    <xf numFmtId="0" fontId="3" fillId="0" borderId="5" xfId="0" applyNumberFormat="1" applyFont="1" applyBorder="1" applyAlignment="1">
      <alignment horizontal="left"/>
    </xf>
    <xf numFmtId="0" fontId="23" fillId="0" borderId="5" xfId="0" applyNumberFormat="1" applyFont="1" applyBorder="1" applyAlignment="1"/>
    <xf numFmtId="1" fontId="25" fillId="0" borderId="5" xfId="0" applyNumberFormat="1" applyFont="1" applyBorder="1" applyAlignment="1">
      <alignment horizontal="left"/>
    </xf>
    <xf numFmtId="165" fontId="27" fillId="0" borderId="5" xfId="0" applyNumberFormat="1" applyFont="1" applyBorder="1" applyAlignment="1">
      <alignment horizontal="right" vertical="center"/>
    </xf>
    <xf numFmtId="165" fontId="21" fillId="0" borderId="5" xfId="0" applyNumberFormat="1" applyFont="1" applyBorder="1" applyAlignment="1">
      <alignment horizontal="left" vertical="center"/>
    </xf>
    <xf numFmtId="0" fontId="21" fillId="0" borderId="5" xfId="0" applyNumberFormat="1" applyFont="1" applyBorder="1" applyAlignment="1">
      <alignment vertical="center"/>
    </xf>
    <xf numFmtId="1" fontId="24" fillId="0" borderId="5" xfId="0" applyNumberFormat="1" applyFont="1" applyBorder="1" applyAlignment="1">
      <alignment vertical="top"/>
    </xf>
    <xf numFmtId="165" fontId="28" fillId="0" borderId="5" xfId="0" applyNumberFormat="1" applyFont="1" applyBorder="1" applyAlignment="1">
      <alignment horizontal="center"/>
    </xf>
    <xf numFmtId="165" fontId="28" fillId="0" borderId="5" xfId="0" applyNumberFormat="1" applyFont="1" applyBorder="1" applyAlignment="1">
      <alignment horizontal="center" vertical="center"/>
    </xf>
    <xf numFmtId="0" fontId="0" fillId="0" borderId="0" xfId="0" applyFont="1" applyAlignment="1">
      <alignment vertical="top" wrapText="1"/>
    </xf>
    <xf numFmtId="166" fontId="11" fillId="4" borderId="18" xfId="0" applyNumberFormat="1" applyFont="1" applyFill="1" applyBorder="1" applyAlignment="1">
      <alignment horizontal="center" vertical="center"/>
    </xf>
    <xf numFmtId="167" fontId="11" fillId="4" borderId="18" xfId="0" applyNumberFormat="1" applyFont="1" applyFill="1" applyBorder="1" applyAlignment="1">
      <alignment horizontal="center" vertical="center"/>
    </xf>
    <xf numFmtId="1" fontId="11" fillId="4" borderId="25" xfId="0" applyNumberFormat="1" applyFont="1" applyFill="1" applyBorder="1" applyAlignment="1">
      <alignment horizontal="center" vertical="center"/>
    </xf>
    <xf numFmtId="1" fontId="3" fillId="4" borderId="4" xfId="0" applyNumberFormat="1" applyFont="1" applyFill="1" applyBorder="1" applyAlignment="1"/>
    <xf numFmtId="1" fontId="3" fillId="4" borderId="5" xfId="0" applyNumberFormat="1" applyFont="1" applyFill="1" applyBorder="1" applyAlignment="1"/>
    <xf numFmtId="1" fontId="3" fillId="4" borderId="6" xfId="0" applyNumberFormat="1" applyFont="1" applyFill="1" applyBorder="1" applyAlignment="1"/>
    <xf numFmtId="0" fontId="0" fillId="0" borderId="0" xfId="0" applyFont="1" applyAlignment="1">
      <alignment vertical="top" wrapText="1"/>
    </xf>
    <xf numFmtId="0" fontId="0" fillId="0" borderId="0" xfId="0" applyFont="1" applyAlignment="1">
      <alignment vertical="top" wrapText="1"/>
    </xf>
    <xf numFmtId="0" fontId="1" fillId="0" borderId="0" xfId="0" applyFont="1" applyAlignment="1">
      <alignment horizontal="left" vertical="top" wrapText="1"/>
    </xf>
    <xf numFmtId="0" fontId="0" fillId="0" borderId="0" xfId="0" applyFont="1" applyAlignment="1">
      <alignment vertical="top" wrapText="1"/>
    </xf>
    <xf numFmtId="1" fontId="21" fillId="0" borderId="5" xfId="0" applyNumberFormat="1" applyFont="1" applyBorder="1" applyAlignment="1">
      <alignment horizontal="center" vertical="center"/>
    </xf>
    <xf numFmtId="1" fontId="24" fillId="0" borderId="5" xfId="0" applyNumberFormat="1" applyFont="1" applyBorder="1" applyAlignment="1">
      <alignment horizontal="center" vertical="top"/>
    </xf>
    <xf numFmtId="1" fontId="26" fillId="4" borderId="14" xfId="0" applyNumberFormat="1" applyFont="1" applyFill="1" applyBorder="1" applyAlignment="1">
      <alignment horizontal="left"/>
    </xf>
    <xf numFmtId="1" fontId="26" fillId="4" borderId="15" xfId="0" applyNumberFormat="1" applyFont="1" applyFill="1" applyBorder="1" applyAlignment="1">
      <alignment horizontal="left"/>
    </xf>
    <xf numFmtId="1" fontId="26" fillId="4" borderId="16" xfId="0" applyNumberFormat="1" applyFont="1" applyFill="1" applyBorder="1" applyAlignment="1">
      <alignment horizontal="left"/>
    </xf>
    <xf numFmtId="49" fontId="16" fillId="6" borderId="14" xfId="0" applyNumberFormat="1" applyFont="1" applyFill="1" applyBorder="1" applyAlignment="1">
      <alignment horizontal="center"/>
    </xf>
    <xf numFmtId="1" fontId="16" fillId="6" borderId="15" xfId="0" applyNumberFormat="1" applyFont="1" applyFill="1" applyBorder="1" applyAlignment="1">
      <alignment horizontal="center"/>
    </xf>
    <xf numFmtId="1" fontId="16" fillId="6" borderId="16" xfId="0" applyNumberFormat="1" applyFont="1" applyFill="1" applyBorder="1" applyAlignment="1">
      <alignment horizontal="center"/>
    </xf>
    <xf numFmtId="1" fontId="5" fillId="4" borderId="4" xfId="0" applyNumberFormat="1" applyFont="1" applyFill="1" applyBorder="1" applyAlignment="1">
      <alignment horizontal="center" vertical="center"/>
    </xf>
    <xf numFmtId="1" fontId="5" fillId="4" borderId="5" xfId="0" applyNumberFormat="1" applyFont="1" applyFill="1" applyBorder="1" applyAlignment="1">
      <alignment horizontal="center" vertical="center"/>
    </xf>
    <xf numFmtId="1" fontId="11" fillId="4" borderId="14" xfId="0" applyNumberFormat="1" applyFont="1" applyFill="1" applyBorder="1" applyAlignment="1">
      <alignment horizontal="left"/>
    </xf>
    <xf numFmtId="1" fontId="20" fillId="4" borderId="14" xfId="1" applyNumberFormat="1" applyFill="1" applyBorder="1" applyAlignment="1">
      <alignment horizontal="left"/>
    </xf>
    <xf numFmtId="1" fontId="26" fillId="4" borderId="22" xfId="0" applyNumberFormat="1" applyFont="1" applyFill="1" applyBorder="1" applyAlignment="1">
      <alignment horizontal="left"/>
    </xf>
    <xf numFmtId="49" fontId="14" fillId="6" borderId="14" xfId="0" applyNumberFormat="1" applyFont="1" applyFill="1" applyBorder="1" applyAlignment="1">
      <alignment horizontal="center"/>
    </xf>
    <xf numFmtId="1" fontId="14" fillId="6" borderId="15" xfId="0" applyNumberFormat="1" applyFont="1" applyFill="1" applyBorder="1" applyAlignment="1">
      <alignment horizontal="center"/>
    </xf>
    <xf numFmtId="1" fontId="14" fillId="6" borderId="16" xfId="0" applyNumberFormat="1" applyFont="1" applyFill="1" applyBorder="1" applyAlignment="1">
      <alignment horizontal="center"/>
    </xf>
    <xf numFmtId="1" fontId="6" fillId="4" borderId="5" xfId="0" applyNumberFormat="1" applyFont="1" applyFill="1" applyBorder="1" applyAlignment="1">
      <alignment horizontal="center" vertical="center"/>
    </xf>
    <xf numFmtId="1" fontId="11" fillId="4" borderId="15" xfId="0" applyNumberFormat="1" applyFont="1" applyFill="1" applyBorder="1" applyAlignment="1">
      <alignment horizontal="left"/>
    </xf>
    <xf numFmtId="1" fontId="11" fillId="4" borderId="16" xfId="0" applyNumberFormat="1" applyFont="1" applyFill="1" applyBorder="1" applyAlignment="1">
      <alignment horizontal="left"/>
    </xf>
    <xf numFmtId="1" fontId="18" fillId="4" borderId="4" xfId="0" applyNumberFormat="1" applyFont="1" applyFill="1" applyBorder="1" applyAlignment="1">
      <alignment horizontal="center" vertical="center"/>
    </xf>
    <xf numFmtId="1" fontId="18" fillId="4" borderId="5" xfId="0" applyNumberFormat="1" applyFont="1" applyFill="1" applyBorder="1" applyAlignment="1">
      <alignment horizontal="center" vertical="center"/>
    </xf>
    <xf numFmtId="1" fontId="18" fillId="4" borderId="6" xfId="0" applyNumberFormat="1" applyFont="1" applyFill="1" applyBorder="1" applyAlignment="1">
      <alignment horizontal="center" vertical="center"/>
    </xf>
    <xf numFmtId="49" fontId="9" fillId="6" borderId="14" xfId="0" applyNumberFormat="1" applyFont="1" applyFill="1" applyBorder="1" applyAlignment="1">
      <alignment horizontal="center"/>
    </xf>
    <xf numFmtId="1" fontId="9" fillId="6" borderId="15" xfId="0" applyNumberFormat="1" applyFont="1" applyFill="1" applyBorder="1" applyAlignment="1">
      <alignment horizontal="center"/>
    </xf>
    <xf numFmtId="1" fontId="9" fillId="6" borderId="22" xfId="0" applyNumberFormat="1" applyFont="1" applyFill="1" applyBorder="1" applyAlignment="1">
      <alignment horizontal="center"/>
    </xf>
    <xf numFmtId="167" fontId="11" fillId="4" borderId="25" xfId="0" applyNumberFormat="1" applyFont="1" applyFill="1" applyBorder="1" applyAlignment="1">
      <alignment horizontal="center"/>
    </xf>
    <xf numFmtId="166" fontId="15" fillId="4" borderId="18" xfId="0" applyNumberFormat="1" applyFont="1" applyFill="1" applyBorder="1" applyAlignment="1">
      <alignment horizontal="center"/>
    </xf>
  </cellXfs>
  <cellStyles count="2">
    <cellStyle name="Hyperlink" xfId="1" builtinId="8"/>
    <cellStyle name="Normal" xfId="0" builtinId="0"/>
  </cellStyles>
  <dxfs count="0"/>
  <tableStyles count="0" defaultPivotStyle="PivotStyleMedium7"/>
  <colors>
    <indexedColors>
      <rgbColor rgb="FF000000"/>
      <rgbColor rgb="FFFFFFFF"/>
      <rgbColor rgb="FFFF0000"/>
      <rgbColor rgb="FF00FF00"/>
      <rgbColor rgb="FF0000FF"/>
      <rgbColor rgb="FFFFFF00"/>
      <rgbColor rgb="FFFF00FF"/>
      <rgbColor rgb="FF00FFFF"/>
      <rgbColor rgb="FF000000"/>
      <rgbColor rgb="015E88B1"/>
      <rgbColor rgb="01EEF3F4"/>
      <rgbColor rgb="FF0000FF"/>
      <rgbColor rgb="FFFFFFFF"/>
      <rgbColor rgb="FF000090"/>
      <rgbColor rgb="FF003366"/>
      <rgbColor rgb="FF4600A5"/>
      <rgbColor rgb="FF003300"/>
      <rgbColor rgb="FF3366FF"/>
      <rgbColor rgb="FFC0C0C0"/>
      <rgbColor rgb="FF006411"/>
      <rgbColor rgb="FFAAAAAA"/>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11720</xdr:colOff>
      <xdr:row>0</xdr:row>
      <xdr:rowOff>9980</xdr:rowOff>
    </xdr:from>
    <xdr:to>
      <xdr:col>6</xdr:col>
      <xdr:colOff>4241</xdr:colOff>
      <xdr:row>2</xdr:row>
      <xdr:rowOff>871874</xdr:rowOff>
    </xdr:to>
    <xdr:pic>
      <xdr:nvPicPr>
        <xdr:cNvPr id="2" name="Header copy" descr="Header copy">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720" y="9980"/>
          <a:ext cx="12914771" cy="2068394"/>
        </a:xfrm>
        <a:prstGeom prst="rect">
          <a:avLst/>
        </a:prstGeom>
        <a:ln w="12700" cap="flat">
          <a:noFill/>
          <a:miter lim="400000"/>
        </a:ln>
        <a:effectLst/>
      </xdr:spPr>
    </xdr:pic>
    <xdr:clientData/>
  </xdr:twoCellAnchor>
  <xdr:twoCellAnchor>
    <xdr:from>
      <xdr:col>1</xdr:col>
      <xdr:colOff>2389965</xdr:colOff>
      <xdr:row>1</xdr:row>
      <xdr:rowOff>153394</xdr:rowOff>
    </xdr:from>
    <xdr:to>
      <xdr:col>4</xdr:col>
      <xdr:colOff>748394</xdr:colOff>
      <xdr:row>1</xdr:row>
      <xdr:rowOff>789215</xdr:rowOff>
    </xdr:to>
    <xdr:sp macro="" textlink="">
      <xdr:nvSpPr>
        <xdr:cNvPr id="3" name="Shape 3">
          <a:extLst>
            <a:ext uri="{FF2B5EF4-FFF2-40B4-BE49-F238E27FC236}">
              <a16:creationId xmlns:a16="http://schemas.microsoft.com/office/drawing/2014/main" id="{00000000-0008-0000-0100-000003000000}"/>
            </a:ext>
          </a:extLst>
        </xdr:cNvPr>
        <xdr:cNvSpPr txBox="1"/>
      </xdr:nvSpPr>
      <xdr:spPr>
        <a:xfrm>
          <a:off x="3886751" y="466358"/>
          <a:ext cx="5134786" cy="635821"/>
        </a:xfrm>
        <a:prstGeom prst="rect">
          <a:avLst/>
        </a:prstGeom>
        <a:noFill/>
        <a:ln w="12700" cap="flat">
          <a:noFill/>
          <a:miter lim="400000"/>
        </a:ln>
        <a:effectLst/>
        <a:extLst>
          <a:ext uri="{C572A759-6A51-4108-AA02-DFA0A04FC94B}">
            <ma14:wrappingTextBoxFlag xmlns="" xmlns:ma14="http://schemas.microsoft.com/office/mac/drawingml/2011/main" val="1"/>
          </a:ext>
        </a:extLst>
      </xdr:spPr>
      <xdr:txBody>
        <a:bodyPr wrap="square" lIns="22859" tIns="22859" rIns="22859" bIns="22859" numCol="1" anchor="t">
          <a:noAutofit/>
        </a:bodyPr>
        <a:lstStyle/>
        <a:p>
          <a:pPr marL="0" marR="0" indent="0" algn="ctr" defTabSz="457200" latinLnBrk="0">
            <a:lnSpc>
              <a:spcPct val="100000"/>
            </a:lnSpc>
            <a:spcBef>
              <a:spcPts val="0"/>
            </a:spcBef>
            <a:spcAft>
              <a:spcPts val="0"/>
            </a:spcAft>
            <a:buClrTx/>
            <a:buSzTx/>
            <a:buFontTx/>
            <a:buNone/>
            <a:tabLst/>
            <a:defRPr sz="1000" b="0" i="0" u="none" strike="noStrike" cap="none" spc="0" baseline="0">
              <a:ln>
                <a:noFill/>
              </a:ln>
              <a:solidFill>
                <a:srgbClr val="000000"/>
              </a:solidFill>
              <a:uFillTx/>
              <a:latin typeface="Arial"/>
              <a:ea typeface="Arial"/>
              <a:cs typeface="Arial"/>
              <a:sym typeface="Arial"/>
            </a:defRPr>
          </a:pPr>
          <a:r>
            <a:rPr sz="4000" b="1" i="0" u="none" strike="noStrike" cap="none" spc="0" baseline="0">
              <a:ln>
                <a:noFill/>
              </a:ln>
              <a:solidFill>
                <a:srgbClr val="FFFFFF"/>
              </a:solidFill>
              <a:uFillTx/>
              <a:latin typeface="Eurostile"/>
              <a:ea typeface="Eurostile"/>
              <a:cs typeface="Eurostile"/>
              <a:sym typeface="Eurostile"/>
            </a:rPr>
            <a:t>MILL DATA</a:t>
          </a:r>
          <a:r>
            <a:rPr lang="en-CA" sz="4000" b="1" i="0" u="none" strike="noStrike" cap="none" spc="0" baseline="0">
              <a:ln>
                <a:noFill/>
              </a:ln>
              <a:solidFill>
                <a:srgbClr val="FFFFFF"/>
              </a:solidFill>
              <a:uFillTx/>
              <a:latin typeface="Eurostile"/>
              <a:ea typeface="Eurostile"/>
              <a:cs typeface="Eurostile"/>
              <a:sym typeface="Eurostile"/>
            </a:rPr>
            <a:t> </a:t>
          </a:r>
          <a:r>
            <a:rPr sz="4000" b="1" i="0" u="none" strike="noStrike" cap="none" spc="0" baseline="0">
              <a:ln>
                <a:noFill/>
              </a:ln>
              <a:solidFill>
                <a:srgbClr val="FFFFFF"/>
              </a:solidFill>
              <a:uFillTx/>
              <a:latin typeface="Eurostile"/>
              <a:ea typeface="Eurostile"/>
              <a:cs typeface="Eurostile"/>
              <a:sym typeface="Eurostile"/>
            </a:rPr>
            <a:t>SHEET</a:t>
          </a:r>
        </a:p>
      </xdr:txBody>
    </xdr:sp>
    <xdr:clientData/>
  </xdr:twoCellAnchor>
  <xdr:twoCellAnchor>
    <xdr:from>
      <xdr:col>5</xdr:col>
      <xdr:colOff>293823</xdr:colOff>
      <xdr:row>66</xdr:row>
      <xdr:rowOff>163412</xdr:rowOff>
    </xdr:from>
    <xdr:to>
      <xdr:col>5</xdr:col>
      <xdr:colOff>1942393</xdr:colOff>
      <xdr:row>69</xdr:row>
      <xdr:rowOff>269447</xdr:rowOff>
    </xdr:to>
    <xdr:pic>
      <xdr:nvPicPr>
        <xdr:cNvPr id="4" name="BK_01.jpg" descr="BK_01.jp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13082723" y="20630097"/>
          <a:ext cx="1648571" cy="1056631"/>
        </a:xfrm>
        <a:prstGeom prst="rect">
          <a:avLst/>
        </a:prstGeom>
        <a:ln w="12700" cap="flat">
          <a:noFill/>
          <a:miter lim="400000"/>
        </a:ln>
        <a:effectLst/>
      </xdr:spPr>
    </xdr:pic>
    <xdr:clientData/>
  </xdr:twoCellAnchor>
  <xdr:twoCellAnchor>
    <xdr:from>
      <xdr:col>0</xdr:col>
      <xdr:colOff>462643</xdr:colOff>
      <xdr:row>7</xdr:row>
      <xdr:rowOff>322880</xdr:rowOff>
    </xdr:from>
    <xdr:to>
      <xdr:col>3</xdr:col>
      <xdr:colOff>101626</xdr:colOff>
      <xdr:row>7</xdr:row>
      <xdr:rowOff>722990</xdr:rowOff>
    </xdr:to>
    <xdr:sp macro="" textlink="">
      <xdr:nvSpPr>
        <xdr:cNvPr id="206" name="TextBox 142">
          <a:extLst>
            <a:ext uri="{FF2B5EF4-FFF2-40B4-BE49-F238E27FC236}">
              <a16:creationId xmlns:a16="http://schemas.microsoft.com/office/drawing/2014/main" id="{00000000-0008-0000-0100-0000CE000000}"/>
            </a:ext>
          </a:extLst>
        </xdr:cNvPr>
        <xdr:cNvSpPr txBox="1"/>
      </xdr:nvSpPr>
      <xdr:spPr>
        <a:xfrm>
          <a:off x="462643" y="8895380"/>
          <a:ext cx="6823554" cy="400110"/>
        </a:xfrm>
        <a:prstGeom prst="rect">
          <a:avLst/>
        </a:prstGeom>
        <a:noFill/>
        <a:ln w="12700">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AU" sz="2000" i="1">
              <a:solidFill>
                <a:srgbClr val="FF0000"/>
              </a:solidFill>
              <a:latin typeface="Orbitron" panose="02000000000000000000" pitchFamily="2" charset="0"/>
            </a:rPr>
            <a:t>Customer Approval:</a:t>
          </a:r>
          <a:r>
            <a:rPr lang="en-AU" sz="2000" i="1" u="sng">
              <a:solidFill>
                <a:srgbClr val="FF0000"/>
              </a:solidFill>
              <a:latin typeface="Orbitron" panose="02000000000000000000" pitchFamily="2" charset="0"/>
            </a:rPr>
            <a:t>                                            </a:t>
          </a:r>
          <a:endParaRPr lang="en-AU" sz="2000" i="1">
            <a:solidFill>
              <a:srgbClr val="FF0000"/>
            </a:solidFill>
            <a:latin typeface="Orbitron" panose="02000000000000000000" pitchFamily="2" charset="0"/>
          </a:endParaRPr>
        </a:p>
      </xdr:txBody>
    </xdr:sp>
    <xdr:clientData/>
  </xdr:twoCellAnchor>
  <xdr:twoCellAnchor>
    <xdr:from>
      <xdr:col>3</xdr:col>
      <xdr:colOff>544702</xdr:colOff>
      <xdr:row>7</xdr:row>
      <xdr:rowOff>325082</xdr:rowOff>
    </xdr:from>
    <xdr:to>
      <xdr:col>5</xdr:col>
      <xdr:colOff>734985</xdr:colOff>
      <xdr:row>7</xdr:row>
      <xdr:rowOff>725192</xdr:rowOff>
    </xdr:to>
    <xdr:sp macro="" textlink="">
      <xdr:nvSpPr>
        <xdr:cNvPr id="207" name="TextBox 143">
          <a:extLst>
            <a:ext uri="{FF2B5EF4-FFF2-40B4-BE49-F238E27FC236}">
              <a16:creationId xmlns:a16="http://schemas.microsoft.com/office/drawing/2014/main" id="{00000000-0008-0000-0100-0000CF000000}"/>
            </a:ext>
          </a:extLst>
        </xdr:cNvPr>
        <xdr:cNvSpPr txBox="1"/>
      </xdr:nvSpPr>
      <xdr:spPr>
        <a:xfrm>
          <a:off x="7729273" y="8897582"/>
          <a:ext cx="4177176" cy="400110"/>
        </a:xfrm>
        <a:prstGeom prst="rect">
          <a:avLst/>
        </a:prstGeom>
        <a:noFill/>
        <a:ln w="12700">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AU" sz="2000" i="1">
              <a:solidFill>
                <a:srgbClr val="FF0000"/>
              </a:solidFill>
              <a:latin typeface="Orbitron" panose="02000000000000000000" pitchFamily="2" charset="0"/>
            </a:rPr>
            <a:t>Date:</a:t>
          </a:r>
          <a:r>
            <a:rPr lang="en-AU" sz="2000" i="1" u="sng">
              <a:solidFill>
                <a:srgbClr val="FF0000"/>
              </a:solidFill>
              <a:latin typeface="Orbitron" panose="02000000000000000000" pitchFamily="2" charset="0"/>
            </a:rPr>
            <a:t>                                </a:t>
          </a:r>
          <a:endParaRPr lang="en-AU" sz="2000" i="1">
            <a:solidFill>
              <a:srgbClr val="FF0000"/>
            </a:solidFill>
            <a:latin typeface="Orbitron" panose="02000000000000000000" pitchFamily="2" charset="0"/>
          </a:endParaRPr>
        </a:p>
      </xdr:txBody>
    </xdr:sp>
    <xdr:clientData/>
  </xdr:twoCellAnchor>
  <xdr:twoCellAnchor>
    <xdr:from>
      <xdr:col>3</xdr:col>
      <xdr:colOff>240846</xdr:colOff>
      <xdr:row>5</xdr:row>
      <xdr:rowOff>2533</xdr:rowOff>
    </xdr:from>
    <xdr:to>
      <xdr:col>4</xdr:col>
      <xdr:colOff>121105</xdr:colOff>
      <xdr:row>5</xdr:row>
      <xdr:rowOff>389819</xdr:rowOff>
    </xdr:to>
    <xdr:sp macro="" textlink="">
      <xdr:nvSpPr>
        <xdr:cNvPr id="72" name="TextBox 51">
          <a:extLst>
            <a:ext uri="{FF2B5EF4-FFF2-40B4-BE49-F238E27FC236}">
              <a16:creationId xmlns:a16="http://schemas.microsoft.com/office/drawing/2014/main" id="{00000000-0008-0000-0100-000048000000}"/>
            </a:ext>
          </a:extLst>
        </xdr:cNvPr>
        <xdr:cNvSpPr txBox="1"/>
      </xdr:nvSpPr>
      <xdr:spPr>
        <a:xfrm>
          <a:off x="7432221" y="3269608"/>
          <a:ext cx="966109" cy="387286"/>
        </a:xfrm>
        <a:prstGeom prst="rect">
          <a:avLst/>
        </a:prstGeom>
        <a:noFill/>
      </xdr:spPr>
      <xdr:txBody>
        <a:bodyPr wrap="square" rtlCol="0">
          <a:spAutoFit/>
        </a:bodyPr>
        <a:lstStyle/>
        <a:p>
          <a:pPr marL="285750" indent="-285750" algn="ctr">
            <a:buFont typeface="Symbol" panose="05050102010706020507" pitchFamily="18" charset="2"/>
            <a:buChar char="Æ"/>
          </a:pPr>
          <a:r>
            <a:rPr lang="en-US" sz="2000" b="1">
              <a:solidFill>
                <a:srgbClr val="FF0000"/>
              </a:solidFill>
            </a:rPr>
            <a:t>133</a:t>
          </a:r>
        </a:p>
      </xdr:txBody>
    </xdr:sp>
    <xdr:clientData/>
  </xdr:twoCellAnchor>
  <xdr:twoCellAnchor>
    <xdr:from>
      <xdr:col>0</xdr:col>
      <xdr:colOff>1203927</xdr:colOff>
      <xdr:row>4</xdr:row>
      <xdr:rowOff>806638</xdr:rowOff>
    </xdr:from>
    <xdr:to>
      <xdr:col>1</xdr:col>
      <xdr:colOff>485775</xdr:colOff>
      <xdr:row>5</xdr:row>
      <xdr:rowOff>327149</xdr:rowOff>
    </xdr:to>
    <xdr:sp macro="" textlink="">
      <xdr:nvSpPr>
        <xdr:cNvPr id="74" name="TextBox 101">
          <a:extLst>
            <a:ext uri="{FF2B5EF4-FFF2-40B4-BE49-F238E27FC236}">
              <a16:creationId xmlns:a16="http://schemas.microsoft.com/office/drawing/2014/main" id="{00000000-0008-0000-0100-00004A000000}"/>
            </a:ext>
          </a:extLst>
        </xdr:cNvPr>
        <xdr:cNvSpPr txBox="1"/>
      </xdr:nvSpPr>
      <xdr:spPr>
        <a:xfrm>
          <a:off x="1203927" y="3206938"/>
          <a:ext cx="777273" cy="3872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AU" sz="2000" b="1">
              <a:solidFill>
                <a:srgbClr val="FF0000"/>
              </a:solidFill>
              <a:latin typeface="Orbitron" panose="02000000000000000000" pitchFamily="2" charset="0"/>
            </a:rPr>
            <a:t>SAG</a:t>
          </a:r>
          <a:endParaRPr lang="en-AU" sz="2000" b="1" baseline="30000">
            <a:solidFill>
              <a:srgbClr val="FF0000"/>
            </a:solidFill>
            <a:latin typeface="Orbitron" panose="02000000000000000000" pitchFamily="2" charset="0"/>
          </a:endParaRPr>
        </a:p>
      </xdr:txBody>
    </xdr:sp>
    <xdr:clientData/>
  </xdr:twoCellAnchor>
  <xdr:twoCellAnchor editAs="oneCell">
    <xdr:from>
      <xdr:col>1</xdr:col>
      <xdr:colOff>1591453</xdr:colOff>
      <xdr:row>4</xdr:row>
      <xdr:rowOff>171451</xdr:rowOff>
    </xdr:from>
    <xdr:to>
      <xdr:col>2</xdr:col>
      <xdr:colOff>1693511</xdr:colOff>
      <xdr:row>6</xdr:row>
      <xdr:rowOff>806450</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a:stretch>
          <a:fillRect/>
        </a:stretch>
      </xdr:blipFill>
      <xdr:spPr>
        <a:xfrm>
          <a:off x="3086878" y="2571751"/>
          <a:ext cx="3169108" cy="2371724"/>
        </a:xfrm>
        <a:prstGeom prst="rect">
          <a:avLst/>
        </a:prstGeom>
      </xdr:spPr>
    </xdr:pic>
    <xdr:clientData/>
  </xdr:twoCellAnchor>
  <xdr:twoCellAnchor editAs="oneCell">
    <xdr:from>
      <xdr:col>2</xdr:col>
      <xdr:colOff>1771650</xdr:colOff>
      <xdr:row>4</xdr:row>
      <xdr:rowOff>157740</xdr:rowOff>
    </xdr:from>
    <xdr:to>
      <xdr:col>4</xdr:col>
      <xdr:colOff>1168400</xdr:colOff>
      <xdr:row>6</xdr:row>
      <xdr:rowOff>806993</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6334125" y="2558040"/>
          <a:ext cx="3114675" cy="2385978"/>
        </a:xfrm>
        <a:prstGeom prst="rect">
          <a:avLst/>
        </a:prstGeom>
      </xdr:spPr>
    </xdr:pic>
    <xdr:clientData/>
  </xdr:twoCellAnchor>
  <xdr:twoCellAnchor editAs="oneCell">
    <xdr:from>
      <xdr:col>4</xdr:col>
      <xdr:colOff>1261248</xdr:colOff>
      <xdr:row>4</xdr:row>
      <xdr:rowOff>161924</xdr:rowOff>
    </xdr:from>
    <xdr:to>
      <xdr:col>5</xdr:col>
      <xdr:colOff>1440026</xdr:colOff>
      <xdr:row>6</xdr:row>
      <xdr:rowOff>781050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5"/>
        <a:stretch>
          <a:fillRect/>
        </a:stretch>
      </xdr:blipFill>
      <xdr:spPr>
        <a:xfrm>
          <a:off x="9538473" y="2562224"/>
          <a:ext cx="3071203" cy="2352676"/>
        </a:xfrm>
        <a:prstGeom prst="rect">
          <a:avLst/>
        </a:prstGeom>
      </xdr:spPr>
    </xdr:pic>
    <xdr:clientData/>
  </xdr:twoCellAnchor>
  <xdr:twoCellAnchor editAs="oneCell">
    <xdr:from>
      <xdr:col>0</xdr:col>
      <xdr:colOff>66675</xdr:colOff>
      <xdr:row>4</xdr:row>
      <xdr:rowOff>190828</xdr:rowOff>
    </xdr:from>
    <xdr:to>
      <xdr:col>1</xdr:col>
      <xdr:colOff>1626413</xdr:colOff>
      <xdr:row>6</xdr:row>
      <xdr:rowOff>800099</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6"/>
        <a:stretch>
          <a:fillRect/>
        </a:stretch>
      </xdr:blipFill>
      <xdr:spPr>
        <a:xfrm>
          <a:off x="66675" y="2591128"/>
          <a:ext cx="3058338" cy="2342821"/>
        </a:xfrm>
        <a:prstGeom prst="rect">
          <a:avLst/>
        </a:prstGeom>
      </xdr:spPr>
    </xdr:pic>
    <xdr:clientData/>
  </xdr:twoCellAnchor>
  <xdr:twoCellAnchor>
    <xdr:from>
      <xdr:col>1</xdr:col>
      <xdr:colOff>51402</xdr:colOff>
      <xdr:row>5</xdr:row>
      <xdr:rowOff>254188</xdr:rowOff>
    </xdr:from>
    <xdr:to>
      <xdr:col>1</xdr:col>
      <xdr:colOff>1092200</xdr:colOff>
      <xdr:row>6</xdr:row>
      <xdr:rowOff>109118</xdr:rowOff>
    </xdr:to>
    <xdr:sp macro="" textlink="">
      <xdr:nvSpPr>
        <xdr:cNvPr id="94" name="TextBox 101">
          <a:extLst>
            <a:ext uri="{FF2B5EF4-FFF2-40B4-BE49-F238E27FC236}">
              <a16:creationId xmlns:a16="http://schemas.microsoft.com/office/drawing/2014/main" id="{00000000-0008-0000-0100-00005E000000}"/>
            </a:ext>
          </a:extLst>
        </xdr:cNvPr>
        <xdr:cNvSpPr txBox="1"/>
      </xdr:nvSpPr>
      <xdr:spPr>
        <a:xfrm>
          <a:off x="1595722" y="3515548"/>
          <a:ext cx="1040798" cy="7185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AU" sz="2000" b="1" baseline="0">
              <a:solidFill>
                <a:srgbClr val="FF0000"/>
              </a:solidFill>
              <a:latin typeface="Orbitron" panose="02000000000000000000" pitchFamily="2" charset="0"/>
            </a:rPr>
            <a:t>38 x 20</a:t>
          </a:r>
        </a:p>
        <a:p>
          <a:endParaRPr lang="en-AU" sz="2000" b="1" baseline="30000">
            <a:solidFill>
              <a:srgbClr val="FF0000"/>
            </a:solidFill>
            <a:latin typeface="Orbitron" panose="02000000000000000000" pitchFamily="2" charset="0"/>
          </a:endParaRPr>
        </a:p>
      </xdr:txBody>
    </xdr:sp>
    <xdr:clientData/>
  </xdr:twoCellAnchor>
  <xdr:twoCellAnchor>
    <xdr:from>
      <xdr:col>1</xdr:col>
      <xdr:colOff>165702</xdr:colOff>
      <xdr:row>5</xdr:row>
      <xdr:rowOff>711388</xdr:rowOff>
    </xdr:from>
    <xdr:to>
      <xdr:col>1</xdr:col>
      <xdr:colOff>885825</xdr:colOff>
      <xdr:row>6</xdr:row>
      <xdr:rowOff>253220</xdr:rowOff>
    </xdr:to>
    <xdr:sp macro="" textlink="">
      <xdr:nvSpPr>
        <xdr:cNvPr id="95" name="TextBox 101">
          <a:extLst>
            <a:ext uri="{FF2B5EF4-FFF2-40B4-BE49-F238E27FC236}">
              <a16:creationId xmlns:a16="http://schemas.microsoft.com/office/drawing/2014/main" id="{00000000-0008-0000-0100-00005F000000}"/>
            </a:ext>
          </a:extLst>
        </xdr:cNvPr>
        <xdr:cNvSpPr txBox="1"/>
      </xdr:nvSpPr>
      <xdr:spPr>
        <a:xfrm>
          <a:off x="1710022" y="3972748"/>
          <a:ext cx="720123" cy="4054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AU" sz="2000" b="1" baseline="0">
              <a:solidFill>
                <a:srgbClr val="FF0000"/>
              </a:solidFill>
              <a:latin typeface="Orbitron" panose="02000000000000000000" pitchFamily="2" charset="0"/>
            </a:rPr>
            <a:t>Bi</a:t>
          </a:r>
          <a:endParaRPr lang="en-AU" sz="2000" b="1" baseline="30000">
            <a:solidFill>
              <a:srgbClr val="FF0000"/>
            </a:solidFill>
            <a:latin typeface="Orbitron" panose="02000000000000000000" pitchFamily="2" charset="0"/>
          </a:endParaRPr>
        </a:p>
      </xdr:txBody>
    </xdr:sp>
    <xdr:clientData/>
  </xdr:twoCellAnchor>
  <xdr:twoCellAnchor>
    <xdr:from>
      <xdr:col>1</xdr:col>
      <xdr:colOff>2543775</xdr:colOff>
      <xdr:row>5</xdr:row>
      <xdr:rowOff>44638</xdr:rowOff>
    </xdr:from>
    <xdr:to>
      <xdr:col>2</xdr:col>
      <xdr:colOff>409574</xdr:colOff>
      <xdr:row>5</xdr:row>
      <xdr:rowOff>450070</xdr:rowOff>
    </xdr:to>
    <xdr:sp macro="" textlink="">
      <xdr:nvSpPr>
        <xdr:cNvPr id="96" name="TextBox 101">
          <a:extLst>
            <a:ext uri="{FF2B5EF4-FFF2-40B4-BE49-F238E27FC236}">
              <a16:creationId xmlns:a16="http://schemas.microsoft.com/office/drawing/2014/main" id="{00000000-0008-0000-0100-000060000000}"/>
            </a:ext>
          </a:extLst>
        </xdr:cNvPr>
        <xdr:cNvSpPr txBox="1"/>
      </xdr:nvSpPr>
      <xdr:spPr>
        <a:xfrm>
          <a:off x="4118575" y="3321238"/>
          <a:ext cx="1078899" cy="4054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AU" sz="2000" b="1" baseline="0">
              <a:solidFill>
                <a:srgbClr val="FF0000"/>
              </a:solidFill>
              <a:latin typeface="Orbitron" panose="02000000000000000000" pitchFamily="2" charset="0"/>
            </a:rPr>
            <a:t>10.23</a:t>
          </a:r>
          <a:endParaRPr lang="en-AU" sz="2000" b="1" baseline="30000">
            <a:solidFill>
              <a:srgbClr val="FF0000"/>
            </a:solidFill>
            <a:latin typeface="Orbitron" panose="02000000000000000000" pitchFamily="2" charset="0"/>
          </a:endParaRPr>
        </a:p>
      </xdr:txBody>
    </xdr:sp>
    <xdr:clientData/>
  </xdr:twoCellAnchor>
  <xdr:twoCellAnchor>
    <xdr:from>
      <xdr:col>1</xdr:col>
      <xdr:colOff>2483451</xdr:colOff>
      <xdr:row>5</xdr:row>
      <xdr:rowOff>568513</xdr:rowOff>
    </xdr:from>
    <xdr:to>
      <xdr:col>2</xdr:col>
      <xdr:colOff>47625</xdr:colOff>
      <xdr:row>6</xdr:row>
      <xdr:rowOff>110345</xdr:rowOff>
    </xdr:to>
    <xdr:sp macro="" textlink="">
      <xdr:nvSpPr>
        <xdr:cNvPr id="97" name="TextBox 101">
          <a:extLst>
            <a:ext uri="{FF2B5EF4-FFF2-40B4-BE49-F238E27FC236}">
              <a16:creationId xmlns:a16="http://schemas.microsoft.com/office/drawing/2014/main" id="{00000000-0008-0000-0100-000061000000}"/>
            </a:ext>
          </a:extLst>
        </xdr:cNvPr>
        <xdr:cNvSpPr txBox="1"/>
      </xdr:nvSpPr>
      <xdr:spPr>
        <a:xfrm>
          <a:off x="4058251" y="3845113"/>
          <a:ext cx="777274" cy="4054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AU" sz="2000" b="1" baseline="0">
              <a:solidFill>
                <a:srgbClr val="FF0000"/>
              </a:solidFill>
              <a:latin typeface="Orbitron" panose="02000000000000000000" pitchFamily="2" charset="0"/>
            </a:rPr>
            <a:t>81.5</a:t>
          </a:r>
          <a:endParaRPr lang="en-AU" sz="2000" b="1" baseline="30000">
            <a:solidFill>
              <a:srgbClr val="FF0000"/>
            </a:solidFill>
            <a:latin typeface="Orbitron" panose="02000000000000000000" pitchFamily="2" charset="0"/>
          </a:endParaRPr>
        </a:p>
      </xdr:txBody>
    </xdr:sp>
    <xdr:clientData/>
  </xdr:twoCellAnchor>
  <xdr:twoCellAnchor>
    <xdr:from>
      <xdr:col>3</xdr:col>
      <xdr:colOff>883251</xdr:colOff>
      <xdr:row>5</xdr:row>
      <xdr:rowOff>806638</xdr:rowOff>
    </xdr:from>
    <xdr:to>
      <xdr:col>4</xdr:col>
      <xdr:colOff>495300</xdr:colOff>
      <xdr:row>6</xdr:row>
      <xdr:rowOff>348470</xdr:rowOff>
    </xdr:to>
    <xdr:sp macro="" textlink="">
      <xdr:nvSpPr>
        <xdr:cNvPr id="98" name="TextBox 101">
          <a:extLst>
            <a:ext uri="{FF2B5EF4-FFF2-40B4-BE49-F238E27FC236}">
              <a16:creationId xmlns:a16="http://schemas.microsoft.com/office/drawing/2014/main" id="{00000000-0008-0000-0100-000062000000}"/>
            </a:ext>
          </a:extLst>
        </xdr:cNvPr>
        <xdr:cNvSpPr txBox="1"/>
      </xdr:nvSpPr>
      <xdr:spPr>
        <a:xfrm>
          <a:off x="8427051" y="4083238"/>
          <a:ext cx="755049" cy="4054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AU" sz="2000" b="1">
              <a:solidFill>
                <a:srgbClr val="FF0000"/>
              </a:solidFill>
              <a:latin typeface="Orbitron" panose="02000000000000000000" pitchFamily="2" charset="0"/>
            </a:rPr>
            <a:t>31.6</a:t>
          </a:r>
          <a:endParaRPr lang="en-AU" sz="2000" b="1" baseline="30000">
            <a:solidFill>
              <a:srgbClr val="FF0000"/>
            </a:solidFill>
            <a:latin typeface="Orbitron" panose="02000000000000000000" pitchFamily="2" charset="0"/>
          </a:endParaRPr>
        </a:p>
      </xdr:txBody>
    </xdr:sp>
    <xdr:clientData/>
  </xdr:twoCellAnchor>
  <xdr:twoCellAnchor>
    <xdr:from>
      <xdr:col>4</xdr:col>
      <xdr:colOff>1689701</xdr:colOff>
      <xdr:row>5</xdr:row>
      <xdr:rowOff>711388</xdr:rowOff>
    </xdr:from>
    <xdr:to>
      <xdr:col>5</xdr:col>
      <xdr:colOff>123825</xdr:colOff>
      <xdr:row>6</xdr:row>
      <xdr:rowOff>253220</xdr:rowOff>
    </xdr:to>
    <xdr:sp macro="" textlink="">
      <xdr:nvSpPr>
        <xdr:cNvPr id="99" name="TextBox 101">
          <a:extLst>
            <a:ext uri="{FF2B5EF4-FFF2-40B4-BE49-F238E27FC236}">
              <a16:creationId xmlns:a16="http://schemas.microsoft.com/office/drawing/2014/main" id="{00000000-0008-0000-0100-000063000000}"/>
            </a:ext>
          </a:extLst>
        </xdr:cNvPr>
        <xdr:cNvSpPr txBox="1"/>
      </xdr:nvSpPr>
      <xdr:spPr>
        <a:xfrm>
          <a:off x="10213941" y="3972748"/>
          <a:ext cx="1411004" cy="4054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AU" sz="2000" b="1">
              <a:solidFill>
                <a:srgbClr val="FF0000"/>
              </a:solidFill>
              <a:latin typeface="Orbitron" panose="02000000000000000000" pitchFamily="2" charset="0"/>
            </a:rPr>
            <a:t>6500 kg</a:t>
          </a:r>
          <a:endParaRPr lang="en-AU" sz="2000" b="1" baseline="30000">
            <a:solidFill>
              <a:srgbClr val="FF0000"/>
            </a:solidFill>
            <a:latin typeface="Orbitron" panose="02000000000000000000" pitchFamily="2" charset="0"/>
          </a:endParaRPr>
        </a:p>
      </xdr:txBody>
    </xdr:sp>
    <xdr:clientData/>
  </xdr:twoCellAnchor>
  <xdr:twoCellAnchor>
    <xdr:from>
      <xdr:col>3</xdr:col>
      <xdr:colOff>714976</xdr:colOff>
      <xdr:row>6</xdr:row>
      <xdr:rowOff>282763</xdr:rowOff>
    </xdr:from>
    <xdr:to>
      <xdr:col>4</xdr:col>
      <xdr:colOff>152400</xdr:colOff>
      <xdr:row>6</xdr:row>
      <xdr:rowOff>688195</xdr:rowOff>
    </xdr:to>
    <xdr:sp macro="" textlink="">
      <xdr:nvSpPr>
        <xdr:cNvPr id="100" name="TextBox 101">
          <a:extLst>
            <a:ext uri="{FF2B5EF4-FFF2-40B4-BE49-F238E27FC236}">
              <a16:creationId xmlns:a16="http://schemas.microsoft.com/office/drawing/2014/main" id="{00000000-0008-0000-0100-000064000000}"/>
            </a:ext>
          </a:extLst>
        </xdr:cNvPr>
        <xdr:cNvSpPr txBox="1"/>
      </xdr:nvSpPr>
      <xdr:spPr>
        <a:xfrm>
          <a:off x="8258776" y="4422963"/>
          <a:ext cx="580424" cy="4054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AU" sz="2000" b="1" baseline="0">
              <a:solidFill>
                <a:srgbClr val="FF0000"/>
              </a:solidFill>
              <a:latin typeface="Orbitron" panose="02000000000000000000" pitchFamily="2" charset="0"/>
            </a:rPr>
            <a:t>21</a:t>
          </a:r>
          <a:endParaRPr lang="en-AU" sz="2000" b="1" baseline="30000">
            <a:solidFill>
              <a:srgbClr val="FF0000"/>
            </a:solidFill>
            <a:latin typeface="Orbitron" panose="02000000000000000000"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2152402</xdr:colOff>
      <xdr:row>2</xdr:row>
      <xdr:rowOff>882337</xdr:rowOff>
    </xdr:to>
    <xdr:pic>
      <xdr:nvPicPr>
        <xdr:cNvPr id="6" name="Header copy" descr="Header copy">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0" y="0"/>
          <a:ext cx="14776202" cy="2085028"/>
        </a:xfrm>
        <a:prstGeom prst="rect">
          <a:avLst/>
        </a:prstGeom>
        <a:ln w="12700" cap="flat">
          <a:noFill/>
          <a:miter lim="400000"/>
        </a:ln>
        <a:effectLst/>
      </xdr:spPr>
    </xdr:pic>
    <xdr:clientData/>
  </xdr:twoCellAnchor>
  <xdr:twoCellAnchor>
    <xdr:from>
      <xdr:col>2</xdr:col>
      <xdr:colOff>143470</xdr:colOff>
      <xdr:row>1</xdr:row>
      <xdr:rowOff>78643</xdr:rowOff>
    </xdr:from>
    <xdr:to>
      <xdr:col>4</xdr:col>
      <xdr:colOff>116458</xdr:colOff>
      <xdr:row>2</xdr:row>
      <xdr:rowOff>660706</xdr:rowOff>
    </xdr:to>
    <xdr:sp macro="" textlink="">
      <xdr:nvSpPr>
        <xdr:cNvPr id="7" name="Shape 7">
          <a:extLst>
            <a:ext uri="{FF2B5EF4-FFF2-40B4-BE49-F238E27FC236}">
              <a16:creationId xmlns:a16="http://schemas.microsoft.com/office/drawing/2014/main" id="{00000000-0008-0000-0200-000007000000}"/>
            </a:ext>
          </a:extLst>
        </xdr:cNvPr>
        <xdr:cNvSpPr txBox="1"/>
      </xdr:nvSpPr>
      <xdr:spPr>
        <a:xfrm>
          <a:off x="5058370" y="395508"/>
          <a:ext cx="5306989" cy="1467889"/>
        </a:xfrm>
        <a:prstGeom prst="rect">
          <a:avLst/>
        </a:prstGeom>
        <a:noFill/>
        <a:ln w="12700" cap="flat">
          <a:noFill/>
          <a:miter lim="400000"/>
        </a:ln>
        <a:effectLst/>
        <a:extLst>
          <a:ext uri="{C572A759-6A51-4108-AA02-DFA0A04FC94B}">
            <ma14:wrappingTextBoxFlag xmlns="" xmlns:ma14="http://schemas.microsoft.com/office/mac/drawingml/2011/main" val="1"/>
          </a:ext>
        </a:extLst>
      </xdr:spPr>
      <xdr:txBody>
        <a:bodyPr wrap="square" lIns="22859" tIns="22859" rIns="22859" bIns="22859" numCol="1" anchor="t">
          <a:noAutofit/>
        </a:bodyPr>
        <a:lstStyle/>
        <a:p>
          <a:pPr marL="0" marR="0" indent="0" algn="ctr" defTabSz="457200" latinLnBrk="0">
            <a:lnSpc>
              <a:spcPct val="100000"/>
            </a:lnSpc>
            <a:spcBef>
              <a:spcPts val="0"/>
            </a:spcBef>
            <a:spcAft>
              <a:spcPts val="0"/>
            </a:spcAft>
            <a:buClrTx/>
            <a:buSzTx/>
            <a:buFontTx/>
            <a:buNone/>
            <a:tabLst/>
            <a:defRPr sz="1000" b="0" i="0" u="none" strike="noStrike" cap="none" spc="0" baseline="0">
              <a:ln>
                <a:noFill/>
              </a:ln>
              <a:solidFill>
                <a:srgbClr val="000000"/>
              </a:solidFill>
              <a:uFillTx/>
              <a:latin typeface="Arial"/>
              <a:ea typeface="Arial"/>
              <a:cs typeface="Arial"/>
              <a:sym typeface="Arial"/>
            </a:defRPr>
          </a:pPr>
          <a:r>
            <a:rPr sz="4000" b="1" i="0" u="none" strike="noStrike" cap="none" spc="0" baseline="0">
              <a:ln>
                <a:noFill/>
              </a:ln>
              <a:solidFill>
                <a:srgbClr val="FFFFFF"/>
              </a:solidFill>
              <a:uFillTx/>
              <a:latin typeface="Eurostile"/>
              <a:ea typeface="Eurostile"/>
              <a:cs typeface="Eurostile"/>
              <a:sym typeface="Eurostile"/>
            </a:rPr>
            <a:t>MILL DATA SHEET</a:t>
          </a:r>
        </a:p>
      </xdr:txBody>
    </xdr:sp>
    <xdr:clientData/>
  </xdr:twoCellAnchor>
  <xdr:twoCellAnchor>
    <xdr:from>
      <xdr:col>5</xdr:col>
      <xdr:colOff>509835</xdr:colOff>
      <xdr:row>62</xdr:row>
      <xdr:rowOff>153432</xdr:rowOff>
    </xdr:from>
    <xdr:to>
      <xdr:col>5</xdr:col>
      <xdr:colOff>2152402</xdr:colOff>
      <xdr:row>65</xdr:row>
      <xdr:rowOff>259468</xdr:rowOff>
    </xdr:to>
    <xdr:pic>
      <xdr:nvPicPr>
        <xdr:cNvPr id="8" name="BK_01.jpg" descr="BK_01.jpg">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stretch>
          <a:fillRect/>
        </a:stretch>
      </xdr:blipFill>
      <xdr:spPr>
        <a:xfrm>
          <a:off x="13133635" y="20617577"/>
          <a:ext cx="1642567" cy="1056632"/>
        </a:xfrm>
        <a:prstGeom prst="rect">
          <a:avLst/>
        </a:prstGeom>
        <a:ln w="12700" cap="flat">
          <a:noFill/>
          <a:miter lim="400000"/>
        </a:ln>
        <a:effectLst/>
      </xdr:spPr>
    </xdr:pic>
    <xdr:clientData/>
  </xdr:twoCellAnchor>
</xdr:wsDr>
</file>

<file path=xl/theme/_rels/theme1.x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Blank">
  <a:themeElements>
    <a:clrScheme name="Blank">
      <a:dk1>
        <a:srgbClr val="000000"/>
      </a:dk1>
      <a:lt1>
        <a:srgbClr val="FFFFFF"/>
      </a:lt1>
      <a:dk2>
        <a:srgbClr val="404040"/>
      </a:dk2>
      <a:lt2>
        <a:srgbClr val="BFBFBF"/>
      </a:lt2>
      <a:accent1>
        <a:srgbClr val="499BC9"/>
      </a:accent1>
      <a:accent2>
        <a:srgbClr val="6EC038"/>
      </a:accent2>
      <a:accent3>
        <a:srgbClr val="F1D130"/>
      </a:accent3>
      <a:accent4>
        <a:srgbClr val="FFA93A"/>
      </a:accent4>
      <a:accent5>
        <a:srgbClr val="FF2D21"/>
      </a:accent5>
      <a:accent6>
        <a:srgbClr val="6C2085"/>
      </a:accent6>
      <a:hlink>
        <a:srgbClr val="0000FF"/>
      </a:hlink>
      <a:folHlink>
        <a:srgbClr val="FF00FF"/>
      </a:folHlink>
    </a:clrScheme>
    <a:fontScheme name="Blank">
      <a:majorFont>
        <a:latin typeface="Helvetica"/>
        <a:ea typeface="Helvetica"/>
        <a:cs typeface="Helvetica"/>
      </a:majorFont>
      <a:minorFont>
        <a:latin typeface="Helvetica"/>
        <a:ea typeface="Helvetica"/>
        <a:cs typeface="Helvetica"/>
      </a:minorFont>
    </a:fontScheme>
    <a:fmtScheme name="Blank">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29999"/>
              </a:schemeClr>
            </a:gs>
            <a:gs pos="100000">
              <a:schemeClr val="phClr">
                <a:tint val="50000"/>
                <a:shade val="100000"/>
                <a:satMod val="350000"/>
              </a:schemeClr>
            </a:gs>
          </a:gsLst>
          <a:lin ang="16200000" scaled="0"/>
        </a:gradFill>
      </a:fillStyleLst>
      <a:lnStyleLst>
        <a:ln w="9525" cap="flat" cmpd="sng" algn="ctr">
          <a:solidFill>
            <a:schemeClr val="phClr">
              <a:shade val="95000"/>
              <a:satMod val="104999"/>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38100" dist="25400" dir="5400000" rotWithShape="0">
              <a:srgbClr val="000000">
                <a:alpha val="50000"/>
              </a:srgbClr>
            </a:outerShdw>
          </a:effectLst>
        </a:effectStyle>
        <a:effectStyle>
          <a:effectLst>
            <a:outerShdw blurRad="38100" dist="25400" dir="5400000" rotWithShape="0">
              <a:srgbClr val="000000">
                <a:alpha val="50000"/>
              </a:srgbClr>
            </a:outerShdw>
          </a:effectLst>
        </a:effectStyle>
        <a:effectStyle>
          <a:effectLst>
            <a:outerShdw blurRad="38100" dist="25400" dir="5400000" rotWithShape="0">
              <a:srgbClr val="000000">
                <a:alpha val="50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lipFill rotWithShape="1">
          <a:blip xmlns:r="http://schemas.openxmlformats.org/officeDocument/2006/relationships" r:embed="rId1"/>
          <a:srcRect/>
          <a:tile tx="0" ty="0" sx="100000" sy="100000" flip="none" algn="tl"/>
        </a:blipFill>
        <a:ln w="12700" cap="flat">
          <a:noFill/>
          <a:miter lim="400000"/>
        </a:ln>
        <a:effectLst>
          <a:outerShdw blurRad="38100" dist="25400" dir="5400000" rotWithShape="0">
            <a:srgbClr val="000000">
              <a:alpha val="50000"/>
            </a:srgbClr>
          </a:outerShdw>
        </a:effectLst>
        <a:sp3d/>
      </a:spPr>
      <a:bodyPr rot="0" spcFirstLastPara="1" vertOverflow="overflow" horzOverflow="overflow" vert="horz" wrap="square" lIns="50800" tIns="50800" rIns="50800" bIns="50800" numCol="1" spcCol="38100" rtlCol="0" anchor="ctr">
        <a:spAutoFit/>
      </a:bodyPr>
      <a:lstStyle>
        <a:defPPr marL="0" marR="0" indent="0" algn="ctr" defTabSz="457200" rtl="0" fontAlgn="auto" latinLnBrk="0" hangingPunct="0">
          <a:lnSpc>
            <a:spcPct val="100000"/>
          </a:lnSpc>
          <a:spcBef>
            <a:spcPts val="0"/>
          </a:spcBef>
          <a:spcAft>
            <a:spcPts val="0"/>
          </a:spcAft>
          <a:buClrTx/>
          <a:buSzTx/>
          <a:buFontTx/>
          <a:buNone/>
          <a:tabLst/>
          <a:defRPr kumimoji="0" sz="1200" b="0" i="0" u="none" strike="noStrike" cap="none" spc="0" normalizeH="0" baseline="0">
            <a:ln>
              <a:noFill/>
            </a:ln>
            <a:solidFill>
              <a:srgbClr val="FFFFFF"/>
            </a:solidFill>
            <a:effectLst>
              <a:outerShdw blurRad="25400" dist="23998" dir="2700000" rotWithShape="0">
                <a:srgbClr val="000000">
                  <a:alpha val="31034"/>
                </a:srgbClr>
              </a:outerShdw>
            </a:effectLst>
            <a:uFillTx/>
            <a:latin typeface="+mn-lt"/>
            <a:ea typeface="+mn-ea"/>
            <a:cs typeface="+mn-cs"/>
            <a:sym typeface="Helvetica"/>
          </a:defRPr>
        </a:defPPr>
        <a:lvl1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spDef>
    <a:lnDef>
      <a:spPr>
        <a:noFill/>
        <a:ln w="6350" cap="flat">
          <a:solidFill>
            <a:srgbClr val="000000"/>
          </a:solidFill>
          <a:prstDash val="solid"/>
          <a:miter lim="400000"/>
        </a:ln>
        <a:effectLst/>
        <a:sp3d/>
      </a:spPr>
      <a:bodyPr rot="0" spcFirstLastPara="1" vertOverflow="overflow" horzOverflow="overflow" vert="horz" wrap="square" lIns="91439" tIns="45719" rIns="91439" bIns="45719" numCol="1" spcCol="38100" rtlCol="0" anchor="t">
        <a:noAutofit/>
      </a:bodyPr>
      <a:lstStyle>
        <a:def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defPPr>
        <a:lvl1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lnDef>
    <a:txDef>
      <a:spPr>
        <a:noFill/>
        <a:ln w="12700" cap="flat">
          <a:noFill/>
          <a:miter lim="400000"/>
        </a:ln>
        <a:effectLst/>
        <a:sp3d/>
      </a:spPr>
      <a:bodyPr rot="0" spcFirstLastPara="1" vertOverflow="overflow" horzOverflow="overflow" vert="horz" wrap="square" lIns="50800" tIns="50800" rIns="50800" bIns="50800" numCol="1" spcCol="38100" rtlCol="0" anchor="t">
        <a:spAutoFit/>
      </a:bodyPr>
      <a:lstStyle>
        <a:defPPr marL="0" marR="0" indent="0" algn="l" defTabSz="457200" rtl="0" fontAlgn="auto" latinLnBrk="0" hangingPunct="0">
          <a:lnSpc>
            <a:spcPct val="100000"/>
          </a:lnSpc>
          <a:spcBef>
            <a:spcPts val="0"/>
          </a:spcBef>
          <a:spcAft>
            <a:spcPts val="0"/>
          </a:spcAft>
          <a:buClrTx/>
          <a:buSzTx/>
          <a:buFontTx/>
          <a:buNone/>
          <a:tabLst/>
          <a:defRPr kumimoji="0" sz="1100" b="0" i="0" u="none" strike="noStrike" cap="none" spc="0" normalizeH="0" baseline="0">
            <a:ln>
              <a:noFill/>
            </a:ln>
            <a:solidFill>
              <a:srgbClr val="000000"/>
            </a:solidFill>
            <a:effectLst/>
            <a:uFillTx/>
            <a:latin typeface="+mn-lt"/>
            <a:ea typeface="+mn-ea"/>
            <a:cs typeface="+mn-cs"/>
            <a:sym typeface="Helvetica"/>
          </a:defRPr>
        </a:defPPr>
        <a:lvl1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epurnmo@fmi.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3:D12"/>
  <sheetViews>
    <sheetView showGridLines="0" workbookViewId="0">
      <selection activeCell="D12" sqref="D12"/>
    </sheetView>
  </sheetViews>
  <sheetFormatPr defaultColWidth="10" defaultRowHeight="12.9" customHeight="1"/>
  <cols>
    <col min="1" max="1" width="2" customWidth="1"/>
    <col min="2" max="4" width="33.6328125" customWidth="1"/>
  </cols>
  <sheetData>
    <row r="3" spans="2:4" ht="50.15" customHeight="1">
      <c r="B3" s="118" t="s">
        <v>0</v>
      </c>
      <c r="C3" s="119"/>
      <c r="D3" s="119"/>
    </row>
    <row r="7" spans="2:4" ht="17.5">
      <c r="B7" s="1" t="s">
        <v>1</v>
      </c>
      <c r="C7" s="1" t="s">
        <v>2</v>
      </c>
      <c r="D7" s="1" t="s">
        <v>3</v>
      </c>
    </row>
    <row r="9" spans="2:4" ht="15.5">
      <c r="B9" s="2" t="s">
        <v>4</v>
      </c>
      <c r="C9" s="2"/>
      <c r="D9" s="2"/>
    </row>
    <row r="10" spans="2:4" ht="15.5">
      <c r="B10" s="3"/>
      <c r="C10" s="3" t="s">
        <v>5</v>
      </c>
      <c r="D10" s="4" t="s">
        <v>4</v>
      </c>
    </row>
    <row r="11" spans="2:4" ht="15.5">
      <c r="B11" s="2" t="s">
        <v>56</v>
      </c>
      <c r="C11" s="2"/>
      <c r="D11" s="2"/>
    </row>
    <row r="12" spans="2:4" ht="15.5">
      <c r="B12" s="3"/>
      <c r="C12" s="3" t="s">
        <v>5</v>
      </c>
      <c r="D12" s="4" t="s">
        <v>56</v>
      </c>
    </row>
  </sheetData>
  <mergeCells count="1">
    <mergeCell ref="B3:D3"/>
  </mergeCells>
  <hyperlinks>
    <hyperlink ref="D10" location="'Mill &amp; Process Data'!R1C1" display="Mill &amp; Process Data" xr:uid="{00000000-0004-0000-0000-000000000000}"/>
    <hyperlink ref="D12" location="'Liner Details'!R1C1" display="Liner Details" xr:uid="{00000000-0004-0000-0000-000001000000}"/>
  </hyperlink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IV70"/>
  <sheetViews>
    <sheetView showGridLines="0" tabSelected="1" topLeftCell="A58" zoomScale="75" zoomScaleNormal="75" zoomScalePageLayoutView="50" workbookViewId="0">
      <selection activeCell="C31" sqref="C31"/>
    </sheetView>
  </sheetViews>
  <sheetFormatPr defaultColWidth="8.90625" defaultRowHeight="12.75" customHeight="1"/>
  <cols>
    <col min="1" max="1" width="22.453125" style="5" customWidth="1"/>
    <col min="2" max="2" width="46" style="5" customWidth="1"/>
    <col min="3" max="3" width="39.453125" style="5" customWidth="1"/>
    <col min="4" max="4" width="16.36328125" style="5" customWidth="1"/>
    <col min="5" max="5" width="43.453125" style="5" customWidth="1"/>
    <col min="6" max="6" width="26.453125" style="5" customWidth="1"/>
    <col min="7" max="8" width="8.90625" style="5" customWidth="1"/>
    <col min="9" max="9" width="11.90625" style="5" bestFit="1" customWidth="1"/>
    <col min="10" max="15" width="8.90625" style="5" customWidth="1"/>
    <col min="16" max="16" width="4.54296875" style="5" customWidth="1"/>
    <col min="17" max="17" width="8.08984375" style="5" customWidth="1"/>
    <col min="18" max="18" width="4" style="5" bestFit="1" customWidth="1"/>
    <col min="19" max="19" width="7.90625" style="5" customWidth="1"/>
    <col min="20" max="20" width="12.36328125" style="5" customWidth="1"/>
    <col min="21" max="22" width="8.90625" style="5" customWidth="1"/>
    <col min="23" max="23" width="13" style="5" bestFit="1" customWidth="1"/>
    <col min="24" max="256" width="8.90625" style="5" customWidth="1"/>
  </cols>
  <sheetData>
    <row r="1" spans="1:256" ht="24.9" customHeight="1">
      <c r="A1" s="6"/>
      <c r="B1" s="7"/>
      <c r="C1" s="7"/>
      <c r="D1" s="7"/>
      <c r="E1" s="7"/>
      <c r="F1" s="8"/>
      <c r="G1" s="97"/>
      <c r="H1" s="97"/>
      <c r="I1" s="97"/>
      <c r="J1" s="97"/>
      <c r="K1" s="97"/>
      <c r="L1" s="97"/>
      <c r="M1" s="97"/>
      <c r="N1" s="97"/>
      <c r="O1" s="97"/>
      <c r="P1" s="97"/>
      <c r="Q1" s="97"/>
      <c r="R1" s="97"/>
      <c r="S1" s="97"/>
      <c r="T1" s="97"/>
      <c r="U1" s="97"/>
      <c r="V1" s="97"/>
      <c r="W1" s="97"/>
      <c r="X1" s="97"/>
      <c r="Y1" s="97"/>
      <c r="Z1" s="97"/>
      <c r="AA1" s="97"/>
      <c r="AB1" s="97"/>
    </row>
    <row r="2" spans="1:256" ht="69.75" customHeight="1">
      <c r="A2" s="128"/>
      <c r="B2" s="129"/>
      <c r="C2" s="136"/>
      <c r="D2" s="136"/>
      <c r="E2" s="136"/>
      <c r="F2" s="12"/>
      <c r="G2" s="97"/>
      <c r="H2" s="97"/>
      <c r="I2" s="97"/>
      <c r="J2" s="97"/>
      <c r="K2" s="97"/>
      <c r="L2" s="97"/>
      <c r="M2" s="97"/>
      <c r="N2" s="97"/>
      <c r="O2" s="97"/>
      <c r="P2" s="97"/>
      <c r="Q2" s="97"/>
      <c r="R2" s="97"/>
      <c r="S2" s="97"/>
      <c r="T2" s="97"/>
      <c r="U2" s="97"/>
      <c r="V2" s="97"/>
      <c r="W2" s="97"/>
      <c r="X2" s="97"/>
      <c r="Y2" s="97"/>
      <c r="Z2" s="97"/>
      <c r="AA2" s="97"/>
      <c r="AB2" s="97"/>
    </row>
    <row r="3" spans="1:256" ht="69.75" customHeight="1">
      <c r="A3" s="13"/>
      <c r="B3" s="14"/>
      <c r="C3" s="14"/>
      <c r="D3" s="14"/>
      <c r="E3" s="14"/>
      <c r="F3" s="15"/>
      <c r="G3" s="97"/>
      <c r="H3" s="97"/>
      <c r="I3" s="97"/>
      <c r="J3" s="97"/>
      <c r="K3" s="97"/>
      <c r="L3" s="97"/>
      <c r="M3" s="97"/>
      <c r="N3" s="97"/>
      <c r="O3" s="97"/>
      <c r="P3" s="97"/>
      <c r="Q3" s="97"/>
      <c r="R3" s="97"/>
      <c r="S3" s="97"/>
      <c r="T3" s="97"/>
      <c r="U3" s="97"/>
      <c r="V3" s="97"/>
      <c r="W3" s="97"/>
      <c r="X3" s="97"/>
      <c r="Y3" s="97"/>
      <c r="Z3" s="97"/>
      <c r="AA3" s="97"/>
      <c r="AB3" s="97"/>
    </row>
    <row r="4" spans="1:256" s="109" customFormat="1" ht="24.9" customHeight="1">
      <c r="A4" s="16" t="s">
        <v>116</v>
      </c>
      <c r="B4" s="17"/>
      <c r="C4" s="17"/>
      <c r="D4" s="17"/>
      <c r="E4" s="17"/>
      <c r="F4" s="18"/>
      <c r="G4" s="97"/>
      <c r="H4" s="97"/>
      <c r="I4" s="98"/>
      <c r="J4" s="99"/>
      <c r="K4" s="97"/>
      <c r="L4" s="97"/>
      <c r="M4" s="97"/>
      <c r="N4" s="97"/>
      <c r="O4" s="97"/>
      <c r="P4" s="97"/>
      <c r="Q4" s="97"/>
      <c r="R4" s="97"/>
      <c r="S4" s="97"/>
      <c r="T4" s="97"/>
      <c r="U4" s="97"/>
      <c r="V4" s="97"/>
      <c r="W4" s="97"/>
      <c r="X4" s="97"/>
      <c r="Y4" s="97"/>
      <c r="Z4" s="97"/>
      <c r="AA4" s="97"/>
      <c r="AB4" s="97"/>
      <c r="AC4" s="72"/>
      <c r="AD4" s="72"/>
      <c r="AE4" s="72"/>
      <c r="AF4" s="72"/>
      <c r="AG4" s="72"/>
      <c r="AH4" s="72"/>
      <c r="AI4" s="72"/>
      <c r="AJ4" s="72"/>
      <c r="AK4" s="72"/>
      <c r="AL4" s="72"/>
      <c r="AM4" s="72"/>
      <c r="AN4" s="72"/>
      <c r="AO4" s="72"/>
      <c r="AP4" s="72"/>
      <c r="AQ4" s="72"/>
      <c r="AR4" s="72"/>
      <c r="AS4" s="72"/>
      <c r="AT4" s="72"/>
      <c r="AU4" s="72"/>
      <c r="AV4" s="72"/>
      <c r="AW4" s="72"/>
      <c r="AX4" s="72"/>
      <c r="AY4" s="72"/>
      <c r="AZ4" s="72"/>
      <c r="BA4" s="72"/>
      <c r="BB4" s="72"/>
      <c r="BC4" s="72"/>
      <c r="BD4" s="72"/>
      <c r="BE4" s="72"/>
      <c r="BF4" s="72"/>
      <c r="BG4" s="72"/>
      <c r="BH4" s="72"/>
      <c r="BI4" s="72"/>
      <c r="BJ4" s="72"/>
      <c r="BK4" s="72"/>
      <c r="BL4" s="72"/>
      <c r="BM4" s="72"/>
      <c r="BN4" s="72"/>
      <c r="BO4" s="72"/>
      <c r="BP4" s="72"/>
      <c r="BQ4" s="72"/>
      <c r="BR4" s="72"/>
      <c r="BS4" s="72"/>
      <c r="BT4" s="72"/>
      <c r="BU4" s="72"/>
      <c r="BV4" s="72"/>
      <c r="BW4" s="72"/>
      <c r="BX4" s="72"/>
      <c r="BY4" s="72"/>
      <c r="BZ4" s="72"/>
      <c r="CA4" s="72"/>
      <c r="CB4" s="72"/>
      <c r="CC4" s="72"/>
      <c r="CD4" s="72"/>
      <c r="CE4" s="72"/>
      <c r="CF4" s="72"/>
      <c r="CG4" s="72"/>
      <c r="CH4" s="72"/>
      <c r="CI4" s="72"/>
      <c r="CJ4" s="72"/>
      <c r="CK4" s="72"/>
      <c r="CL4" s="72"/>
      <c r="CM4" s="72"/>
      <c r="CN4" s="72"/>
      <c r="CO4" s="72"/>
      <c r="CP4" s="72"/>
      <c r="CQ4" s="72"/>
      <c r="CR4" s="72"/>
      <c r="CS4" s="72"/>
      <c r="CT4" s="72"/>
      <c r="CU4" s="72"/>
      <c r="CV4" s="72"/>
      <c r="CW4" s="72"/>
      <c r="CX4" s="72"/>
      <c r="CY4" s="72"/>
      <c r="CZ4" s="72"/>
      <c r="DA4" s="72"/>
      <c r="DB4" s="72"/>
      <c r="DC4" s="72"/>
      <c r="DD4" s="72"/>
      <c r="DE4" s="72"/>
      <c r="DF4" s="72"/>
      <c r="DG4" s="72"/>
      <c r="DH4" s="72"/>
      <c r="DI4" s="72"/>
      <c r="DJ4" s="72"/>
      <c r="DK4" s="72"/>
      <c r="DL4" s="72"/>
      <c r="DM4" s="72"/>
      <c r="DN4" s="72"/>
      <c r="DO4" s="72"/>
      <c r="DP4" s="72"/>
      <c r="DQ4" s="72"/>
      <c r="DR4" s="72"/>
      <c r="DS4" s="72"/>
      <c r="DT4" s="72"/>
      <c r="DU4" s="72"/>
      <c r="DV4" s="72"/>
      <c r="DW4" s="72"/>
      <c r="DX4" s="72"/>
      <c r="DY4" s="72"/>
      <c r="DZ4" s="72"/>
      <c r="EA4" s="72"/>
      <c r="EB4" s="72"/>
      <c r="EC4" s="72"/>
      <c r="ED4" s="72"/>
      <c r="EE4" s="72"/>
      <c r="EF4" s="72"/>
      <c r="EG4" s="72"/>
      <c r="EH4" s="72"/>
      <c r="EI4" s="72"/>
      <c r="EJ4" s="72"/>
      <c r="EK4" s="72"/>
      <c r="EL4" s="72"/>
      <c r="EM4" s="72"/>
      <c r="EN4" s="72"/>
      <c r="EO4" s="72"/>
      <c r="EP4" s="72"/>
      <c r="EQ4" s="72"/>
      <c r="ER4" s="72"/>
      <c r="ES4" s="72"/>
      <c r="ET4" s="72"/>
      <c r="EU4" s="72"/>
      <c r="EV4" s="72"/>
      <c r="EW4" s="72"/>
      <c r="EX4" s="72"/>
      <c r="EY4" s="72"/>
      <c r="EZ4" s="72"/>
      <c r="FA4" s="72"/>
      <c r="FB4" s="72"/>
      <c r="FC4" s="72"/>
      <c r="FD4" s="72"/>
      <c r="FE4" s="72"/>
      <c r="FF4" s="72"/>
      <c r="FG4" s="72"/>
      <c r="FH4" s="72"/>
      <c r="FI4" s="72"/>
      <c r="FJ4" s="72"/>
      <c r="FK4" s="72"/>
      <c r="FL4" s="72"/>
      <c r="FM4" s="72"/>
      <c r="FN4" s="72"/>
      <c r="FO4" s="72"/>
      <c r="FP4" s="72"/>
      <c r="FQ4" s="72"/>
      <c r="FR4" s="72"/>
      <c r="FS4" s="72"/>
      <c r="FT4" s="72"/>
      <c r="FU4" s="72"/>
      <c r="FV4" s="72"/>
      <c r="FW4" s="72"/>
      <c r="FX4" s="72"/>
      <c r="FY4" s="72"/>
      <c r="FZ4" s="72"/>
      <c r="GA4" s="72"/>
      <c r="GB4" s="72"/>
      <c r="GC4" s="72"/>
      <c r="GD4" s="72"/>
      <c r="GE4" s="72"/>
      <c r="GF4" s="72"/>
      <c r="GG4" s="72"/>
      <c r="GH4" s="72"/>
      <c r="GI4" s="72"/>
      <c r="GJ4" s="72"/>
      <c r="GK4" s="72"/>
      <c r="GL4" s="72"/>
      <c r="GM4" s="72"/>
      <c r="GN4" s="72"/>
      <c r="GO4" s="72"/>
      <c r="GP4" s="72"/>
      <c r="GQ4" s="72"/>
      <c r="GR4" s="72"/>
      <c r="GS4" s="72"/>
      <c r="GT4" s="72"/>
      <c r="GU4" s="72"/>
      <c r="GV4" s="72"/>
      <c r="GW4" s="72"/>
      <c r="GX4" s="72"/>
      <c r="GY4" s="72"/>
      <c r="GZ4" s="72"/>
      <c r="HA4" s="72"/>
      <c r="HB4" s="72"/>
      <c r="HC4" s="72"/>
      <c r="HD4" s="72"/>
      <c r="HE4" s="72"/>
      <c r="HF4" s="72"/>
      <c r="HG4" s="72"/>
      <c r="HH4" s="72"/>
      <c r="HI4" s="72"/>
      <c r="HJ4" s="72"/>
      <c r="HK4" s="72"/>
      <c r="HL4" s="72"/>
      <c r="HM4" s="72"/>
      <c r="HN4" s="72"/>
      <c r="HO4" s="72"/>
      <c r="HP4" s="72"/>
      <c r="HQ4" s="72"/>
      <c r="HR4" s="72"/>
      <c r="HS4" s="72"/>
      <c r="HT4" s="72"/>
      <c r="HU4" s="72"/>
      <c r="HV4" s="72"/>
      <c r="HW4" s="72"/>
      <c r="HX4" s="72"/>
      <c r="HY4" s="72"/>
      <c r="HZ4" s="72"/>
      <c r="IA4" s="72"/>
      <c r="IB4" s="72"/>
      <c r="IC4" s="72"/>
      <c r="ID4" s="72"/>
      <c r="IE4" s="72"/>
      <c r="IF4" s="72"/>
      <c r="IG4" s="72"/>
      <c r="IH4" s="72"/>
      <c r="II4" s="72"/>
      <c r="IJ4" s="72"/>
      <c r="IK4" s="72"/>
      <c r="IL4" s="72"/>
      <c r="IM4" s="72"/>
      <c r="IN4" s="72"/>
      <c r="IO4" s="72"/>
      <c r="IP4" s="72"/>
      <c r="IQ4" s="72"/>
      <c r="IR4" s="72"/>
      <c r="IS4" s="72"/>
      <c r="IT4" s="72"/>
      <c r="IU4" s="72"/>
      <c r="IV4" s="72"/>
    </row>
    <row r="5" spans="1:256" s="109" customFormat="1" ht="68.25" customHeight="1">
      <c r="A5" s="113"/>
      <c r="B5" s="114"/>
      <c r="C5" s="114"/>
      <c r="D5" s="114"/>
      <c r="E5" s="114"/>
      <c r="F5" s="115"/>
      <c r="G5" s="97"/>
      <c r="H5" s="97"/>
      <c r="I5" s="97"/>
      <c r="J5" s="97"/>
      <c r="K5" s="97"/>
      <c r="L5" s="97"/>
      <c r="M5" s="97"/>
      <c r="N5" s="97"/>
      <c r="O5" s="97"/>
      <c r="P5" s="97"/>
      <c r="Q5" s="97"/>
      <c r="R5" s="97"/>
      <c r="S5" s="97"/>
      <c r="T5" s="97"/>
      <c r="U5" s="97"/>
      <c r="V5" s="97"/>
      <c r="W5" s="97"/>
      <c r="X5" s="97"/>
      <c r="Y5" s="97"/>
      <c r="Z5" s="97"/>
      <c r="AA5" s="97"/>
      <c r="AB5" s="97"/>
      <c r="AC5" s="72"/>
      <c r="AD5" s="72"/>
      <c r="AE5" s="72"/>
      <c r="AF5" s="72"/>
      <c r="AG5" s="72"/>
      <c r="AH5" s="72"/>
      <c r="AI5" s="72"/>
      <c r="AJ5" s="72"/>
      <c r="AK5" s="72"/>
      <c r="AL5" s="72"/>
      <c r="AM5" s="72"/>
      <c r="AN5" s="72"/>
      <c r="AO5" s="72"/>
      <c r="AP5" s="72"/>
      <c r="AQ5" s="72"/>
      <c r="AR5" s="72"/>
      <c r="AS5" s="72"/>
      <c r="AT5" s="72"/>
      <c r="AU5" s="72"/>
      <c r="AV5" s="72"/>
      <c r="AW5" s="72"/>
      <c r="AX5" s="72"/>
      <c r="AY5" s="72"/>
      <c r="AZ5" s="72"/>
      <c r="BA5" s="72"/>
      <c r="BB5" s="72"/>
      <c r="BC5" s="72"/>
      <c r="BD5" s="72"/>
      <c r="BE5" s="72"/>
      <c r="BF5" s="72"/>
      <c r="BG5" s="72"/>
      <c r="BH5" s="72"/>
      <c r="BI5" s="72"/>
      <c r="BJ5" s="72"/>
      <c r="BK5" s="72"/>
      <c r="BL5" s="72"/>
      <c r="BM5" s="72"/>
      <c r="BN5" s="72"/>
      <c r="BO5" s="72"/>
      <c r="BP5" s="72"/>
      <c r="BQ5" s="72"/>
      <c r="BR5" s="72"/>
      <c r="BS5" s="72"/>
      <c r="BT5" s="72"/>
      <c r="BU5" s="72"/>
      <c r="BV5" s="72"/>
      <c r="BW5" s="72"/>
      <c r="BX5" s="72"/>
      <c r="BY5" s="72"/>
      <c r="BZ5" s="72"/>
      <c r="CA5" s="72"/>
      <c r="CB5" s="72"/>
      <c r="CC5" s="72"/>
      <c r="CD5" s="72"/>
      <c r="CE5" s="72"/>
      <c r="CF5" s="72"/>
      <c r="CG5" s="72"/>
      <c r="CH5" s="72"/>
      <c r="CI5" s="72"/>
      <c r="CJ5" s="72"/>
      <c r="CK5" s="72"/>
      <c r="CL5" s="72"/>
      <c r="CM5" s="72"/>
      <c r="CN5" s="72"/>
      <c r="CO5" s="72"/>
      <c r="CP5" s="72"/>
      <c r="CQ5" s="72"/>
      <c r="CR5" s="72"/>
      <c r="CS5" s="72"/>
      <c r="CT5" s="72"/>
      <c r="CU5" s="72"/>
      <c r="CV5" s="72"/>
      <c r="CW5" s="72"/>
      <c r="CX5" s="72"/>
      <c r="CY5" s="72"/>
      <c r="CZ5" s="72"/>
      <c r="DA5" s="72"/>
      <c r="DB5" s="72"/>
      <c r="DC5" s="72"/>
      <c r="DD5" s="72"/>
      <c r="DE5" s="72"/>
      <c r="DF5" s="72"/>
      <c r="DG5" s="72"/>
      <c r="DH5" s="72"/>
      <c r="DI5" s="72"/>
      <c r="DJ5" s="72"/>
      <c r="DK5" s="72"/>
      <c r="DL5" s="72"/>
      <c r="DM5" s="72"/>
      <c r="DN5" s="72"/>
      <c r="DO5" s="72"/>
      <c r="DP5" s="72"/>
      <c r="DQ5" s="72"/>
      <c r="DR5" s="72"/>
      <c r="DS5" s="72"/>
      <c r="DT5" s="72"/>
      <c r="DU5" s="72"/>
      <c r="DV5" s="72"/>
      <c r="DW5" s="72"/>
      <c r="DX5" s="72"/>
      <c r="DY5" s="72"/>
      <c r="DZ5" s="72"/>
      <c r="EA5" s="72"/>
      <c r="EB5" s="72"/>
      <c r="EC5" s="72"/>
      <c r="ED5" s="72"/>
      <c r="EE5" s="72"/>
      <c r="EF5" s="72"/>
      <c r="EG5" s="72"/>
      <c r="EH5" s="72"/>
      <c r="EI5" s="72"/>
      <c r="EJ5" s="72"/>
      <c r="EK5" s="72"/>
      <c r="EL5" s="72"/>
      <c r="EM5" s="72"/>
      <c r="EN5" s="72"/>
      <c r="EO5" s="72"/>
      <c r="EP5" s="72"/>
      <c r="EQ5" s="72"/>
      <c r="ER5" s="72"/>
      <c r="ES5" s="72"/>
      <c r="ET5" s="72"/>
      <c r="EU5" s="72"/>
      <c r="EV5" s="72"/>
      <c r="EW5" s="72"/>
      <c r="EX5" s="72"/>
      <c r="EY5" s="72"/>
      <c r="EZ5" s="72"/>
      <c r="FA5" s="72"/>
      <c r="FB5" s="72"/>
      <c r="FC5" s="72"/>
      <c r="FD5" s="72"/>
      <c r="FE5" s="72"/>
      <c r="FF5" s="72"/>
      <c r="FG5" s="72"/>
      <c r="FH5" s="72"/>
      <c r="FI5" s="72"/>
      <c r="FJ5" s="72"/>
      <c r="FK5" s="72"/>
      <c r="FL5" s="72"/>
      <c r="FM5" s="72"/>
      <c r="FN5" s="72"/>
      <c r="FO5" s="72"/>
      <c r="FP5" s="72"/>
      <c r="FQ5" s="72"/>
      <c r="FR5" s="72"/>
      <c r="FS5" s="72"/>
      <c r="FT5" s="72"/>
      <c r="FU5" s="72"/>
      <c r="FV5" s="72"/>
      <c r="FW5" s="72"/>
      <c r="FX5" s="72"/>
      <c r="FY5" s="72"/>
      <c r="FZ5" s="72"/>
      <c r="GA5" s="72"/>
      <c r="GB5" s="72"/>
      <c r="GC5" s="72"/>
      <c r="GD5" s="72"/>
      <c r="GE5" s="72"/>
      <c r="GF5" s="72"/>
      <c r="GG5" s="72"/>
      <c r="GH5" s="72"/>
      <c r="GI5" s="72"/>
      <c r="GJ5" s="72"/>
      <c r="GK5" s="72"/>
      <c r="GL5" s="72"/>
      <c r="GM5" s="72"/>
      <c r="GN5" s="72"/>
      <c r="GO5" s="72"/>
      <c r="GP5" s="72"/>
      <c r="GQ5" s="72"/>
      <c r="GR5" s="72"/>
      <c r="GS5" s="72"/>
      <c r="GT5" s="72"/>
      <c r="GU5" s="72"/>
      <c r="GV5" s="72"/>
      <c r="GW5" s="72"/>
      <c r="GX5" s="72"/>
      <c r="GY5" s="72"/>
      <c r="GZ5" s="72"/>
      <c r="HA5" s="72"/>
      <c r="HB5" s="72"/>
      <c r="HC5" s="72"/>
      <c r="HD5" s="72"/>
      <c r="HE5" s="72"/>
      <c r="HF5" s="72"/>
      <c r="HG5" s="72"/>
      <c r="HH5" s="72"/>
      <c r="HI5" s="72"/>
      <c r="HJ5" s="72"/>
      <c r="HK5" s="72"/>
      <c r="HL5" s="72"/>
      <c r="HM5" s="72"/>
      <c r="HN5" s="72"/>
      <c r="HO5" s="72"/>
      <c r="HP5" s="72"/>
      <c r="HQ5" s="72"/>
      <c r="HR5" s="72"/>
      <c r="HS5" s="72"/>
      <c r="HT5" s="72"/>
      <c r="HU5" s="72"/>
      <c r="HV5" s="72"/>
      <c r="HW5" s="72"/>
      <c r="HX5" s="72"/>
      <c r="HY5" s="72"/>
      <c r="HZ5" s="72"/>
      <c r="IA5" s="72"/>
      <c r="IB5" s="72"/>
      <c r="IC5" s="72"/>
      <c r="ID5" s="72"/>
      <c r="IE5" s="72"/>
      <c r="IF5" s="72"/>
      <c r="IG5" s="72"/>
      <c r="IH5" s="72"/>
      <c r="II5" s="72"/>
      <c r="IJ5" s="72"/>
      <c r="IK5" s="72"/>
      <c r="IL5" s="72"/>
      <c r="IM5" s="72"/>
      <c r="IN5" s="72"/>
      <c r="IO5" s="72"/>
      <c r="IP5" s="72"/>
      <c r="IQ5" s="72"/>
      <c r="IR5" s="72"/>
      <c r="IS5" s="72"/>
      <c r="IT5" s="72"/>
      <c r="IU5" s="72"/>
      <c r="IV5" s="72"/>
    </row>
    <row r="6" spans="1:256" s="117" customFormat="1" ht="68.25" customHeight="1">
      <c r="A6" s="113"/>
      <c r="B6" s="114"/>
      <c r="C6" s="114"/>
      <c r="D6" s="114"/>
      <c r="E6" s="114"/>
      <c r="F6" s="115"/>
      <c r="G6" s="97"/>
      <c r="H6" s="97"/>
      <c r="I6" s="97"/>
      <c r="J6" s="97"/>
      <c r="K6" s="97"/>
      <c r="L6" s="97"/>
      <c r="M6" s="97"/>
      <c r="N6" s="97"/>
      <c r="O6" s="97"/>
      <c r="P6" s="97"/>
      <c r="Q6" s="97"/>
      <c r="R6" s="97"/>
      <c r="S6" s="97"/>
      <c r="T6" s="97"/>
      <c r="U6" s="97"/>
      <c r="V6" s="97"/>
      <c r="W6" s="97"/>
      <c r="X6" s="97"/>
      <c r="Y6" s="97"/>
      <c r="Z6" s="97"/>
      <c r="AA6" s="97"/>
      <c r="AB6" s="97"/>
      <c r="AC6" s="72"/>
      <c r="AD6" s="72"/>
      <c r="AE6" s="72"/>
      <c r="AF6" s="72"/>
      <c r="AG6" s="72"/>
      <c r="AH6" s="72"/>
      <c r="AI6" s="72"/>
      <c r="AJ6" s="72"/>
      <c r="AK6" s="72"/>
      <c r="AL6" s="72"/>
      <c r="AM6" s="72"/>
      <c r="AN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W6" s="72"/>
      <c r="BX6" s="72"/>
      <c r="BY6" s="72"/>
      <c r="BZ6" s="72"/>
      <c r="CA6" s="72"/>
      <c r="CB6" s="72"/>
      <c r="CC6" s="72"/>
      <c r="CD6" s="72"/>
      <c r="CE6" s="72"/>
      <c r="CF6" s="72"/>
      <c r="CG6" s="72"/>
      <c r="CH6" s="72"/>
      <c r="CI6" s="72"/>
      <c r="CJ6" s="72"/>
      <c r="CK6" s="72"/>
      <c r="CL6" s="72"/>
      <c r="CM6" s="72"/>
      <c r="CN6" s="72"/>
      <c r="CO6" s="72"/>
      <c r="CP6" s="72"/>
      <c r="CQ6" s="72"/>
      <c r="CR6" s="72"/>
      <c r="CS6" s="72"/>
      <c r="CT6" s="72"/>
      <c r="CU6" s="72"/>
      <c r="CV6" s="72"/>
      <c r="CW6" s="72"/>
      <c r="CX6" s="72"/>
      <c r="CY6" s="72"/>
      <c r="CZ6" s="72"/>
      <c r="DA6" s="72"/>
      <c r="DB6" s="72"/>
      <c r="DC6" s="72"/>
      <c r="DD6" s="72"/>
      <c r="DE6" s="72"/>
      <c r="DF6" s="72"/>
      <c r="DG6" s="72"/>
      <c r="DH6" s="72"/>
      <c r="DI6" s="72"/>
      <c r="DJ6" s="72"/>
      <c r="DK6" s="72"/>
      <c r="DL6" s="72"/>
      <c r="DM6" s="72"/>
      <c r="DN6" s="72"/>
      <c r="DO6" s="72"/>
      <c r="DP6" s="72"/>
      <c r="DQ6" s="72"/>
      <c r="DR6" s="72"/>
      <c r="DS6" s="72"/>
      <c r="DT6" s="72"/>
      <c r="DU6" s="72"/>
      <c r="DV6" s="72"/>
      <c r="DW6" s="72"/>
      <c r="DX6" s="72"/>
      <c r="DY6" s="72"/>
      <c r="DZ6" s="72"/>
      <c r="EA6" s="72"/>
      <c r="EB6" s="72"/>
      <c r="EC6" s="72"/>
      <c r="ED6" s="72"/>
      <c r="EE6" s="72"/>
      <c r="EF6" s="72"/>
      <c r="EG6" s="72"/>
      <c r="EH6" s="72"/>
      <c r="EI6" s="72"/>
      <c r="EJ6" s="72"/>
      <c r="EK6" s="72"/>
      <c r="EL6" s="72"/>
      <c r="EM6" s="72"/>
      <c r="EN6" s="72"/>
      <c r="EO6" s="72"/>
      <c r="EP6" s="72"/>
      <c r="EQ6" s="72"/>
      <c r="ER6" s="72"/>
      <c r="ES6" s="72"/>
      <c r="ET6" s="72"/>
      <c r="EU6" s="72"/>
      <c r="EV6" s="72"/>
      <c r="EW6" s="72"/>
      <c r="EX6" s="72"/>
      <c r="EY6" s="72"/>
      <c r="EZ6" s="72"/>
      <c r="FA6" s="72"/>
      <c r="FB6" s="72"/>
      <c r="FC6" s="72"/>
      <c r="FD6" s="72"/>
      <c r="FE6" s="72"/>
      <c r="FF6" s="72"/>
      <c r="FG6" s="72"/>
      <c r="FH6" s="72"/>
      <c r="FI6" s="72"/>
      <c r="FJ6" s="72"/>
      <c r="FK6" s="72"/>
      <c r="FL6" s="72"/>
      <c r="FM6" s="72"/>
      <c r="FN6" s="72"/>
      <c r="FO6" s="72"/>
      <c r="FP6" s="72"/>
      <c r="FQ6" s="72"/>
      <c r="FR6" s="72"/>
      <c r="FS6" s="72"/>
      <c r="FT6" s="72"/>
      <c r="FU6" s="72"/>
      <c r="FV6" s="72"/>
      <c r="FW6" s="72"/>
      <c r="FX6" s="72"/>
      <c r="FY6" s="72"/>
      <c r="FZ6" s="72"/>
      <c r="GA6" s="72"/>
      <c r="GB6" s="72"/>
      <c r="GC6" s="72"/>
      <c r="GD6" s="72"/>
      <c r="GE6" s="72"/>
      <c r="GF6" s="72"/>
      <c r="GG6" s="72"/>
      <c r="GH6" s="72"/>
      <c r="GI6" s="72"/>
      <c r="GJ6" s="72"/>
      <c r="GK6" s="72"/>
      <c r="GL6" s="72"/>
      <c r="GM6" s="72"/>
      <c r="GN6" s="72"/>
      <c r="GO6" s="72"/>
      <c r="GP6" s="72"/>
      <c r="GQ6" s="72"/>
      <c r="GR6" s="72"/>
      <c r="GS6" s="72"/>
      <c r="GT6" s="72"/>
      <c r="GU6" s="72"/>
      <c r="GV6" s="72"/>
      <c r="GW6" s="72"/>
      <c r="GX6" s="72"/>
      <c r="GY6" s="72"/>
      <c r="GZ6" s="72"/>
      <c r="HA6" s="72"/>
      <c r="HB6" s="72"/>
      <c r="HC6" s="72"/>
      <c r="HD6" s="72"/>
      <c r="HE6" s="72"/>
      <c r="HF6" s="72"/>
      <c r="HG6" s="72"/>
      <c r="HH6" s="72"/>
      <c r="HI6" s="72"/>
      <c r="HJ6" s="72"/>
      <c r="HK6" s="72"/>
      <c r="HL6" s="72"/>
      <c r="HM6" s="72"/>
      <c r="HN6" s="72"/>
      <c r="HO6" s="72"/>
      <c r="HP6" s="72"/>
      <c r="HQ6" s="72"/>
      <c r="HR6" s="72"/>
      <c r="HS6" s="72"/>
      <c r="HT6" s="72"/>
      <c r="HU6" s="72"/>
      <c r="HV6" s="72"/>
      <c r="HW6" s="72"/>
      <c r="HX6" s="72"/>
      <c r="HY6" s="72"/>
      <c r="HZ6" s="72"/>
      <c r="IA6" s="72"/>
      <c r="IB6" s="72"/>
      <c r="IC6" s="72"/>
      <c r="ID6" s="72"/>
      <c r="IE6" s="72"/>
      <c r="IF6" s="72"/>
      <c r="IG6" s="72"/>
      <c r="IH6" s="72"/>
      <c r="II6" s="72"/>
      <c r="IJ6" s="72"/>
      <c r="IK6" s="72"/>
      <c r="IL6" s="72"/>
      <c r="IM6" s="72"/>
      <c r="IN6" s="72"/>
      <c r="IO6" s="72"/>
      <c r="IP6" s="72"/>
      <c r="IQ6" s="72"/>
      <c r="IR6" s="72"/>
      <c r="IS6" s="72"/>
      <c r="IT6" s="72"/>
      <c r="IU6" s="72"/>
      <c r="IV6" s="72"/>
    </row>
    <row r="7" spans="1:256" s="109" customFormat="1" ht="69.75" customHeight="1">
      <c r="A7" s="113"/>
      <c r="B7" s="114"/>
      <c r="C7" s="114"/>
      <c r="D7" s="114"/>
      <c r="E7" s="114"/>
      <c r="F7" s="115"/>
      <c r="G7" s="97"/>
      <c r="H7" s="97"/>
      <c r="I7" s="97"/>
      <c r="J7" s="97"/>
      <c r="K7" s="97"/>
      <c r="L7" s="97"/>
      <c r="M7" s="97"/>
      <c r="N7" s="97"/>
      <c r="O7" s="97"/>
      <c r="P7" s="97"/>
      <c r="Q7" s="97"/>
      <c r="R7" s="97"/>
      <c r="S7" s="97"/>
      <c r="T7" s="97"/>
      <c r="U7" s="97"/>
      <c r="V7" s="97"/>
      <c r="W7" s="97"/>
      <c r="X7" s="97"/>
      <c r="Y7" s="97"/>
      <c r="Z7" s="97"/>
      <c r="AA7" s="97"/>
      <c r="AB7" s="97"/>
      <c r="AC7" s="72"/>
      <c r="AD7" s="72"/>
      <c r="AE7" s="72"/>
      <c r="AF7" s="72"/>
      <c r="AG7" s="72"/>
      <c r="AH7" s="72"/>
      <c r="AI7" s="72"/>
      <c r="AJ7" s="72"/>
      <c r="AK7" s="72"/>
      <c r="AL7" s="72"/>
      <c r="AM7" s="72"/>
      <c r="AN7" s="72"/>
      <c r="AO7" s="72"/>
      <c r="AP7" s="72"/>
      <c r="AQ7" s="72"/>
      <c r="AR7" s="72"/>
      <c r="AS7" s="72"/>
      <c r="AT7" s="72"/>
      <c r="AU7" s="72"/>
      <c r="AV7" s="72"/>
      <c r="AW7" s="72"/>
      <c r="AX7" s="72"/>
      <c r="AY7" s="72"/>
      <c r="AZ7" s="72"/>
      <c r="BA7" s="72"/>
      <c r="BB7" s="72"/>
      <c r="BC7" s="72"/>
      <c r="BD7" s="72"/>
      <c r="BE7" s="72"/>
      <c r="BF7" s="72"/>
      <c r="BG7" s="72"/>
      <c r="BH7" s="72"/>
      <c r="BI7" s="72"/>
      <c r="BJ7" s="72"/>
      <c r="BK7" s="72"/>
      <c r="BL7" s="72"/>
      <c r="BM7" s="72"/>
      <c r="BN7" s="72"/>
      <c r="BO7" s="72"/>
      <c r="BP7" s="72"/>
      <c r="BQ7" s="72"/>
      <c r="BR7" s="72"/>
      <c r="BS7" s="72"/>
      <c r="BT7" s="72"/>
      <c r="BU7" s="72"/>
      <c r="BV7" s="72"/>
      <c r="BW7" s="72"/>
      <c r="BX7" s="72"/>
      <c r="BY7" s="72"/>
      <c r="BZ7" s="72"/>
      <c r="CA7" s="72"/>
      <c r="CB7" s="72"/>
      <c r="CC7" s="72"/>
      <c r="CD7" s="72"/>
      <c r="CE7" s="72"/>
      <c r="CF7" s="72"/>
      <c r="CG7" s="72"/>
      <c r="CH7" s="72"/>
      <c r="CI7" s="72"/>
      <c r="CJ7" s="72"/>
      <c r="CK7" s="72"/>
      <c r="CL7" s="72"/>
      <c r="CM7" s="72"/>
      <c r="CN7" s="72"/>
      <c r="CO7" s="72"/>
      <c r="CP7" s="72"/>
      <c r="CQ7" s="72"/>
      <c r="CR7" s="72"/>
      <c r="CS7" s="72"/>
      <c r="CT7" s="72"/>
      <c r="CU7" s="72"/>
      <c r="CV7" s="72"/>
      <c r="CW7" s="72"/>
      <c r="CX7" s="72"/>
      <c r="CY7" s="72"/>
      <c r="CZ7" s="72"/>
      <c r="DA7" s="72"/>
      <c r="DB7" s="72"/>
      <c r="DC7" s="72"/>
      <c r="DD7" s="72"/>
      <c r="DE7" s="72"/>
      <c r="DF7" s="72"/>
      <c r="DG7" s="72"/>
      <c r="DH7" s="72"/>
      <c r="DI7" s="72"/>
      <c r="DJ7" s="72"/>
      <c r="DK7" s="72"/>
      <c r="DL7" s="72"/>
      <c r="DM7" s="72"/>
      <c r="DN7" s="72"/>
      <c r="DO7" s="72"/>
      <c r="DP7" s="72"/>
      <c r="DQ7" s="72"/>
      <c r="DR7" s="72"/>
      <c r="DS7" s="72"/>
      <c r="DT7" s="72"/>
      <c r="DU7" s="72"/>
      <c r="DV7" s="72"/>
      <c r="DW7" s="72"/>
      <c r="DX7" s="72"/>
      <c r="DY7" s="72"/>
      <c r="DZ7" s="72"/>
      <c r="EA7" s="72"/>
      <c r="EB7" s="72"/>
      <c r="EC7" s="72"/>
      <c r="ED7" s="72"/>
      <c r="EE7" s="72"/>
      <c r="EF7" s="72"/>
      <c r="EG7" s="72"/>
      <c r="EH7" s="72"/>
      <c r="EI7" s="72"/>
      <c r="EJ7" s="72"/>
      <c r="EK7" s="72"/>
      <c r="EL7" s="72"/>
      <c r="EM7" s="72"/>
      <c r="EN7" s="72"/>
      <c r="EO7" s="72"/>
      <c r="EP7" s="72"/>
      <c r="EQ7" s="72"/>
      <c r="ER7" s="72"/>
      <c r="ES7" s="72"/>
      <c r="ET7" s="72"/>
      <c r="EU7" s="72"/>
      <c r="EV7" s="72"/>
      <c r="EW7" s="72"/>
      <c r="EX7" s="72"/>
      <c r="EY7" s="72"/>
      <c r="EZ7" s="72"/>
      <c r="FA7" s="72"/>
      <c r="FB7" s="72"/>
      <c r="FC7" s="72"/>
      <c r="FD7" s="72"/>
      <c r="FE7" s="72"/>
      <c r="FF7" s="72"/>
      <c r="FG7" s="72"/>
      <c r="FH7" s="72"/>
      <c r="FI7" s="72"/>
      <c r="FJ7" s="72"/>
      <c r="FK7" s="72"/>
      <c r="FL7" s="72"/>
      <c r="FM7" s="72"/>
      <c r="FN7" s="72"/>
      <c r="FO7" s="72"/>
      <c r="FP7" s="72"/>
      <c r="FQ7" s="72"/>
      <c r="FR7" s="72"/>
      <c r="FS7" s="72"/>
      <c r="FT7" s="72"/>
      <c r="FU7" s="72"/>
      <c r="FV7" s="72"/>
      <c r="FW7" s="72"/>
      <c r="FX7" s="72"/>
      <c r="FY7" s="72"/>
      <c r="FZ7" s="72"/>
      <c r="GA7" s="72"/>
      <c r="GB7" s="72"/>
      <c r="GC7" s="72"/>
      <c r="GD7" s="72"/>
      <c r="GE7" s="72"/>
      <c r="GF7" s="72"/>
      <c r="GG7" s="72"/>
      <c r="GH7" s="72"/>
      <c r="GI7" s="72"/>
      <c r="GJ7" s="72"/>
      <c r="GK7" s="72"/>
      <c r="GL7" s="72"/>
      <c r="GM7" s="72"/>
      <c r="GN7" s="72"/>
      <c r="GO7" s="72"/>
      <c r="GP7" s="72"/>
      <c r="GQ7" s="72"/>
      <c r="GR7" s="72"/>
      <c r="GS7" s="72"/>
      <c r="GT7" s="72"/>
      <c r="GU7" s="72"/>
      <c r="GV7" s="72"/>
      <c r="GW7" s="72"/>
      <c r="GX7" s="72"/>
      <c r="GY7" s="72"/>
      <c r="GZ7" s="72"/>
      <c r="HA7" s="72"/>
      <c r="HB7" s="72"/>
      <c r="HC7" s="72"/>
      <c r="HD7" s="72"/>
      <c r="HE7" s="72"/>
      <c r="HF7" s="72"/>
      <c r="HG7" s="72"/>
      <c r="HH7" s="72"/>
      <c r="HI7" s="72"/>
      <c r="HJ7" s="72"/>
      <c r="HK7" s="72"/>
      <c r="HL7" s="72"/>
      <c r="HM7" s="72"/>
      <c r="HN7" s="72"/>
      <c r="HO7" s="72"/>
      <c r="HP7" s="72"/>
      <c r="HQ7" s="72"/>
      <c r="HR7" s="72"/>
      <c r="HS7" s="72"/>
      <c r="HT7" s="72"/>
      <c r="HU7" s="72"/>
      <c r="HV7" s="72"/>
      <c r="HW7" s="72"/>
      <c r="HX7" s="72"/>
      <c r="HY7" s="72"/>
      <c r="HZ7" s="72"/>
      <c r="IA7" s="72"/>
      <c r="IB7" s="72"/>
      <c r="IC7" s="72"/>
      <c r="ID7" s="72"/>
      <c r="IE7" s="72"/>
      <c r="IF7" s="72"/>
      <c r="IG7" s="72"/>
      <c r="IH7" s="72"/>
      <c r="II7" s="72"/>
      <c r="IJ7" s="72"/>
      <c r="IK7" s="72"/>
      <c r="IL7" s="72"/>
      <c r="IM7" s="72"/>
      <c r="IN7" s="72"/>
      <c r="IO7" s="72"/>
      <c r="IP7" s="72"/>
      <c r="IQ7" s="72"/>
      <c r="IR7" s="72"/>
      <c r="IS7" s="72"/>
      <c r="IT7" s="72"/>
      <c r="IU7" s="72"/>
      <c r="IV7" s="72"/>
    </row>
    <row r="8" spans="1:256" s="109" customFormat="1" ht="69.75" customHeight="1">
      <c r="A8" s="113"/>
      <c r="B8" s="114"/>
      <c r="C8" s="114"/>
      <c r="D8" s="114"/>
      <c r="E8" s="114"/>
      <c r="F8" s="115"/>
      <c r="G8" s="97"/>
      <c r="H8" s="97"/>
      <c r="I8" s="97"/>
      <c r="J8" s="97"/>
      <c r="K8" s="97"/>
      <c r="L8" s="97"/>
      <c r="M8" s="97" t="s">
        <v>115</v>
      </c>
      <c r="N8" s="97"/>
      <c r="O8" s="97"/>
      <c r="P8" s="97"/>
      <c r="Q8" s="97"/>
      <c r="R8" s="97"/>
      <c r="S8" s="97"/>
      <c r="T8" s="97"/>
      <c r="U8" s="97"/>
      <c r="V8" s="97"/>
      <c r="W8" s="97"/>
      <c r="X8" s="97"/>
      <c r="Y8" s="97"/>
      <c r="Z8" s="97"/>
      <c r="AA8" s="97"/>
      <c r="AB8" s="97"/>
      <c r="AC8" s="72"/>
      <c r="AD8" s="72"/>
      <c r="AE8" s="72"/>
      <c r="AF8" s="72"/>
      <c r="AG8" s="72"/>
      <c r="AH8" s="72"/>
      <c r="AI8" s="72"/>
      <c r="AJ8" s="72"/>
      <c r="AK8" s="72"/>
      <c r="AL8" s="72"/>
      <c r="AM8" s="72"/>
      <c r="AN8" s="72"/>
      <c r="AO8" s="72"/>
      <c r="AP8" s="72"/>
      <c r="AQ8" s="72"/>
      <c r="AR8" s="72"/>
      <c r="AS8" s="72"/>
      <c r="AT8" s="72"/>
      <c r="AU8" s="72"/>
      <c r="AV8" s="72"/>
      <c r="AW8" s="72"/>
      <c r="AX8" s="72"/>
      <c r="AY8" s="72"/>
      <c r="AZ8" s="72"/>
      <c r="BA8" s="72"/>
      <c r="BB8" s="72"/>
      <c r="BC8" s="72"/>
      <c r="BD8" s="72"/>
      <c r="BE8" s="72"/>
      <c r="BF8" s="72"/>
      <c r="BG8" s="72"/>
      <c r="BH8" s="72"/>
      <c r="BI8" s="72"/>
      <c r="BJ8" s="72"/>
      <c r="BK8" s="72"/>
      <c r="BL8" s="72"/>
      <c r="BM8" s="72"/>
      <c r="BN8" s="72"/>
      <c r="BO8" s="72"/>
      <c r="BP8" s="72"/>
      <c r="BQ8" s="72"/>
      <c r="BR8" s="72"/>
      <c r="BS8" s="72"/>
      <c r="BT8" s="72"/>
      <c r="BU8" s="72"/>
      <c r="BV8" s="72"/>
      <c r="BW8" s="72"/>
      <c r="BX8" s="72"/>
      <c r="BY8" s="72"/>
      <c r="BZ8" s="72"/>
      <c r="CA8" s="72"/>
      <c r="CB8" s="72"/>
      <c r="CC8" s="72"/>
      <c r="CD8" s="72"/>
      <c r="CE8" s="72"/>
      <c r="CF8" s="72"/>
      <c r="CG8" s="72"/>
      <c r="CH8" s="72"/>
      <c r="CI8" s="72"/>
      <c r="CJ8" s="72"/>
      <c r="CK8" s="72"/>
      <c r="CL8" s="72"/>
      <c r="CM8" s="72"/>
      <c r="CN8" s="72"/>
      <c r="CO8" s="72"/>
      <c r="CP8" s="72"/>
      <c r="CQ8" s="72"/>
      <c r="CR8" s="72"/>
      <c r="CS8" s="72"/>
      <c r="CT8" s="72"/>
      <c r="CU8" s="72"/>
      <c r="CV8" s="72"/>
      <c r="CW8" s="72"/>
      <c r="CX8" s="72"/>
      <c r="CY8" s="72"/>
      <c r="CZ8" s="72"/>
      <c r="DA8" s="72"/>
      <c r="DB8" s="72"/>
      <c r="DC8" s="72"/>
      <c r="DD8" s="72"/>
      <c r="DE8" s="72"/>
      <c r="DF8" s="72"/>
      <c r="DG8" s="72"/>
      <c r="DH8" s="72"/>
      <c r="DI8" s="72"/>
      <c r="DJ8" s="72"/>
      <c r="DK8" s="72"/>
      <c r="DL8" s="72"/>
      <c r="DM8" s="72"/>
      <c r="DN8" s="72"/>
      <c r="DO8" s="72"/>
      <c r="DP8" s="72"/>
      <c r="DQ8" s="72"/>
      <c r="DR8" s="72"/>
      <c r="DS8" s="72"/>
      <c r="DT8" s="72"/>
      <c r="DU8" s="72"/>
      <c r="DV8" s="72"/>
      <c r="DW8" s="72"/>
      <c r="DX8" s="72"/>
      <c r="DY8" s="72"/>
      <c r="DZ8" s="72"/>
      <c r="EA8" s="72"/>
      <c r="EB8" s="72"/>
      <c r="EC8" s="72"/>
      <c r="ED8" s="72"/>
      <c r="EE8" s="72"/>
      <c r="EF8" s="72"/>
      <c r="EG8" s="72"/>
      <c r="EH8" s="72"/>
      <c r="EI8" s="72"/>
      <c r="EJ8" s="72"/>
      <c r="EK8" s="72"/>
      <c r="EL8" s="72"/>
      <c r="EM8" s="72"/>
      <c r="EN8" s="72"/>
      <c r="EO8" s="72"/>
      <c r="EP8" s="72"/>
      <c r="EQ8" s="72"/>
      <c r="ER8" s="72"/>
      <c r="ES8" s="72"/>
      <c r="ET8" s="72"/>
      <c r="EU8" s="72"/>
      <c r="EV8" s="72"/>
      <c r="EW8" s="72"/>
      <c r="EX8" s="72"/>
      <c r="EY8" s="72"/>
      <c r="EZ8" s="72"/>
      <c r="FA8" s="72"/>
      <c r="FB8" s="72"/>
      <c r="FC8" s="72"/>
      <c r="FD8" s="72"/>
      <c r="FE8" s="72"/>
      <c r="FF8" s="72"/>
      <c r="FG8" s="72"/>
      <c r="FH8" s="72"/>
      <c r="FI8" s="72"/>
      <c r="FJ8" s="72"/>
      <c r="FK8" s="72"/>
      <c r="FL8" s="72"/>
      <c r="FM8" s="72"/>
      <c r="FN8" s="72"/>
      <c r="FO8" s="72"/>
      <c r="FP8" s="72"/>
      <c r="FQ8" s="72"/>
      <c r="FR8" s="72"/>
      <c r="FS8" s="72"/>
      <c r="FT8" s="72"/>
      <c r="FU8" s="72"/>
      <c r="FV8" s="72"/>
      <c r="FW8" s="72"/>
      <c r="FX8" s="72"/>
      <c r="FY8" s="72"/>
      <c r="FZ8" s="72"/>
      <c r="GA8" s="72"/>
      <c r="GB8" s="72"/>
      <c r="GC8" s="72"/>
      <c r="GD8" s="72"/>
      <c r="GE8" s="72"/>
      <c r="GF8" s="72"/>
      <c r="GG8" s="72"/>
      <c r="GH8" s="72"/>
      <c r="GI8" s="72"/>
      <c r="GJ8" s="72"/>
      <c r="GK8" s="72"/>
      <c r="GL8" s="72"/>
      <c r="GM8" s="72"/>
      <c r="GN8" s="72"/>
      <c r="GO8" s="72"/>
      <c r="GP8" s="72"/>
      <c r="GQ8" s="72"/>
      <c r="GR8" s="72"/>
      <c r="GS8" s="72"/>
      <c r="GT8" s="72"/>
      <c r="GU8" s="72"/>
      <c r="GV8" s="72"/>
      <c r="GW8" s="72"/>
      <c r="GX8" s="72"/>
      <c r="GY8" s="72"/>
      <c r="GZ8" s="72"/>
      <c r="HA8" s="72"/>
      <c r="HB8" s="72"/>
      <c r="HC8" s="72"/>
      <c r="HD8" s="72"/>
      <c r="HE8" s="72"/>
      <c r="HF8" s="72"/>
      <c r="HG8" s="72"/>
      <c r="HH8" s="72"/>
      <c r="HI8" s="72"/>
      <c r="HJ8" s="72"/>
      <c r="HK8" s="72"/>
      <c r="HL8" s="72"/>
      <c r="HM8" s="72"/>
      <c r="HN8" s="72"/>
      <c r="HO8" s="72"/>
      <c r="HP8" s="72"/>
      <c r="HQ8" s="72"/>
      <c r="HR8" s="72"/>
      <c r="HS8" s="72"/>
      <c r="HT8" s="72"/>
      <c r="HU8" s="72"/>
      <c r="HV8" s="72"/>
      <c r="HW8" s="72"/>
      <c r="HX8" s="72"/>
      <c r="HY8" s="72"/>
      <c r="HZ8" s="72"/>
      <c r="IA8" s="72"/>
      <c r="IB8" s="72"/>
      <c r="IC8" s="72"/>
      <c r="ID8" s="72"/>
      <c r="IE8" s="72"/>
      <c r="IF8" s="72"/>
      <c r="IG8" s="72"/>
      <c r="IH8" s="72"/>
      <c r="II8" s="72"/>
      <c r="IJ8" s="72"/>
      <c r="IK8" s="72"/>
      <c r="IL8" s="72"/>
      <c r="IM8" s="72"/>
      <c r="IN8" s="72"/>
      <c r="IO8" s="72"/>
      <c r="IP8" s="72"/>
      <c r="IQ8" s="72"/>
      <c r="IR8" s="72"/>
      <c r="IS8" s="72"/>
      <c r="IT8" s="72"/>
      <c r="IU8" s="72"/>
      <c r="IV8" s="72"/>
    </row>
    <row r="9" spans="1:256" ht="24.9" customHeight="1">
      <c r="A9" s="16" t="s">
        <v>109</v>
      </c>
      <c r="B9" s="17"/>
      <c r="C9" s="17"/>
      <c r="D9" s="17"/>
      <c r="E9" s="17"/>
      <c r="F9" s="18"/>
      <c r="G9" s="97"/>
      <c r="H9" s="97"/>
      <c r="I9" s="98"/>
      <c r="J9" s="99"/>
      <c r="K9" s="97"/>
      <c r="L9" s="97"/>
      <c r="M9" s="97"/>
      <c r="N9" s="97"/>
      <c r="O9" s="97"/>
      <c r="P9" s="97"/>
      <c r="Q9" s="97"/>
      <c r="R9" s="97"/>
      <c r="S9" s="97"/>
      <c r="T9" s="97"/>
      <c r="U9" s="97"/>
      <c r="V9" s="97"/>
      <c r="W9" s="97"/>
      <c r="X9" s="97"/>
      <c r="Y9" s="97"/>
      <c r="Z9" s="97"/>
      <c r="AA9" s="97"/>
      <c r="AB9" s="97"/>
    </row>
    <row r="10" spans="1:256" ht="24.9" customHeight="1">
      <c r="A10" s="19"/>
      <c r="B10" s="20"/>
      <c r="C10" s="21"/>
      <c r="D10" s="21"/>
      <c r="E10" s="21"/>
      <c r="F10" s="22"/>
      <c r="G10" s="97"/>
      <c r="H10" s="97"/>
      <c r="I10" s="97"/>
      <c r="J10" s="100"/>
      <c r="K10" s="97"/>
      <c r="L10" s="97"/>
      <c r="M10" s="97"/>
      <c r="N10" s="97"/>
      <c r="O10" s="97"/>
      <c r="P10" s="97"/>
      <c r="Q10" s="97"/>
      <c r="R10" s="97"/>
      <c r="S10" s="97"/>
      <c r="T10" s="97"/>
      <c r="U10" s="97"/>
      <c r="V10" s="97"/>
      <c r="W10" s="97"/>
      <c r="X10" s="97"/>
      <c r="Y10" s="97"/>
      <c r="Z10" s="97"/>
      <c r="AA10" s="97"/>
      <c r="AB10" s="97"/>
    </row>
    <row r="11" spans="1:256" ht="24.9" customHeight="1">
      <c r="A11" s="19"/>
      <c r="B11" s="23" t="s">
        <v>6</v>
      </c>
      <c r="C11" s="130" t="s">
        <v>117</v>
      </c>
      <c r="D11" s="137"/>
      <c r="E11" s="138"/>
      <c r="F11" s="24"/>
      <c r="G11" s="97"/>
      <c r="H11" s="97"/>
      <c r="I11" s="101"/>
      <c r="J11" s="102"/>
      <c r="K11" s="97"/>
      <c r="L11" s="97"/>
      <c r="M11" s="97"/>
      <c r="N11" s="97"/>
      <c r="O11" s="106"/>
      <c r="P11" s="106"/>
      <c r="Q11" s="106"/>
      <c r="R11" s="106"/>
      <c r="S11" s="106"/>
      <c r="T11" s="106"/>
      <c r="U11" s="97"/>
      <c r="V11" s="97"/>
      <c r="W11" s="97"/>
      <c r="X11" s="97"/>
      <c r="Y11" s="97"/>
      <c r="Z11" s="97"/>
      <c r="AA11" s="97"/>
      <c r="AB11" s="97"/>
    </row>
    <row r="12" spans="1:256" ht="24.9" customHeight="1">
      <c r="A12" s="25"/>
      <c r="B12" s="23" t="s">
        <v>7</v>
      </c>
      <c r="C12" s="130" t="s">
        <v>118</v>
      </c>
      <c r="D12" s="123"/>
      <c r="E12" s="124"/>
      <c r="F12" s="24"/>
      <c r="G12" s="97"/>
      <c r="H12" s="97"/>
      <c r="I12" s="97"/>
      <c r="J12" s="97"/>
      <c r="K12" s="97"/>
      <c r="L12" s="97"/>
      <c r="M12" s="97"/>
      <c r="N12" s="97"/>
      <c r="O12" s="106"/>
      <c r="P12" s="121"/>
      <c r="Q12" s="121"/>
      <c r="R12" s="121"/>
      <c r="S12" s="121"/>
      <c r="T12" s="106"/>
      <c r="U12" s="97"/>
      <c r="V12" s="97"/>
      <c r="W12" s="97"/>
      <c r="X12" s="97"/>
      <c r="Y12" s="97"/>
      <c r="Z12" s="97"/>
      <c r="AA12" s="97"/>
      <c r="AB12" s="97"/>
    </row>
    <row r="13" spans="1:256" ht="24.75" customHeight="1">
      <c r="A13" s="25"/>
      <c r="B13" s="23" t="s">
        <v>8</v>
      </c>
      <c r="C13" s="130"/>
      <c r="D13" s="123"/>
      <c r="E13" s="124"/>
      <c r="F13" s="26"/>
      <c r="G13" s="97"/>
      <c r="H13" s="97"/>
      <c r="I13" s="97"/>
      <c r="J13" s="97"/>
      <c r="K13" s="97"/>
      <c r="L13" s="97"/>
      <c r="M13" s="97"/>
      <c r="N13" s="97"/>
      <c r="O13" s="97"/>
      <c r="P13" s="121"/>
      <c r="Q13" s="121"/>
      <c r="R13" s="121"/>
      <c r="S13" s="121"/>
      <c r="T13" s="97"/>
      <c r="U13" s="97"/>
      <c r="V13" s="97"/>
      <c r="W13" s="97"/>
      <c r="X13" s="97"/>
      <c r="Y13" s="97"/>
      <c r="Z13" s="97"/>
      <c r="AA13" s="97"/>
      <c r="AB13" s="97"/>
    </row>
    <row r="14" spans="1:256" ht="24.9" customHeight="1">
      <c r="A14" s="25"/>
      <c r="B14" s="23" t="s">
        <v>9</v>
      </c>
      <c r="C14" s="122"/>
      <c r="D14" s="123"/>
      <c r="E14" s="124"/>
      <c r="F14" s="24"/>
      <c r="G14" s="97"/>
      <c r="H14" s="97"/>
      <c r="I14" s="97"/>
      <c r="J14" s="97"/>
      <c r="K14" s="97"/>
      <c r="L14" s="97"/>
      <c r="M14" s="97"/>
      <c r="N14" s="97"/>
      <c r="O14" s="97"/>
      <c r="P14" s="103"/>
      <c r="Q14" s="104"/>
      <c r="R14" s="105"/>
      <c r="S14" s="104"/>
      <c r="T14" s="97"/>
      <c r="U14" s="97"/>
      <c r="V14" s="97"/>
      <c r="W14" s="97"/>
      <c r="X14" s="97"/>
      <c r="Y14" s="97"/>
      <c r="Z14" s="97"/>
      <c r="AA14" s="97"/>
      <c r="AB14" s="97"/>
    </row>
    <row r="15" spans="1:256" ht="24.9" customHeight="1">
      <c r="A15" s="25"/>
      <c r="B15" s="23" t="s">
        <v>10</v>
      </c>
      <c r="C15" s="27"/>
      <c r="D15" s="28" t="s">
        <v>11</v>
      </c>
      <c r="E15" s="27"/>
      <c r="F15" s="29"/>
      <c r="G15" s="97"/>
      <c r="H15" s="97"/>
      <c r="I15" s="97"/>
      <c r="J15" s="97"/>
      <c r="K15" s="97"/>
      <c r="L15" s="97"/>
      <c r="M15" s="97"/>
      <c r="N15" s="97"/>
      <c r="O15" s="97"/>
      <c r="P15" s="97"/>
      <c r="Q15" s="97"/>
      <c r="R15" s="97"/>
      <c r="S15" s="97"/>
      <c r="T15" s="97"/>
      <c r="U15" s="97"/>
      <c r="V15" s="97"/>
      <c r="W15" s="97"/>
      <c r="X15" s="97"/>
      <c r="Y15" s="97"/>
      <c r="Z15" s="97"/>
      <c r="AA15" s="97"/>
      <c r="AB15" s="97"/>
    </row>
    <row r="16" spans="1:256" ht="24.9" customHeight="1">
      <c r="A16" s="25"/>
      <c r="B16" s="23" t="s">
        <v>12</v>
      </c>
      <c r="C16" s="27"/>
      <c r="D16" s="30" t="s">
        <v>13</v>
      </c>
      <c r="E16" s="131" t="s">
        <v>119</v>
      </c>
      <c r="F16" s="132"/>
      <c r="G16" s="97"/>
      <c r="H16" s="97"/>
      <c r="I16" s="97"/>
      <c r="J16" s="97"/>
      <c r="K16" s="97"/>
      <c r="L16" s="97"/>
      <c r="M16" s="97"/>
      <c r="N16" s="97"/>
      <c r="O16" s="97"/>
      <c r="P16" s="120"/>
      <c r="Q16" s="120"/>
      <c r="R16" s="120"/>
      <c r="S16" s="120"/>
      <c r="T16" s="97"/>
      <c r="U16" s="97"/>
      <c r="V16" s="97"/>
      <c r="W16" s="97"/>
      <c r="X16" s="97"/>
      <c r="Y16" s="97"/>
      <c r="Z16" s="97"/>
      <c r="AA16" s="97"/>
      <c r="AB16" s="97"/>
    </row>
    <row r="17" spans="1:28" ht="24.9" customHeight="1">
      <c r="A17" s="25"/>
      <c r="B17" s="20"/>
      <c r="C17" s="31"/>
      <c r="D17" s="20"/>
      <c r="E17" s="31"/>
      <c r="F17" s="32"/>
      <c r="G17" s="97"/>
      <c r="H17" s="97"/>
      <c r="I17" s="97"/>
      <c r="J17" s="97"/>
      <c r="K17" s="97"/>
      <c r="L17" s="97"/>
      <c r="M17" s="97"/>
      <c r="N17" s="97"/>
      <c r="O17" s="97"/>
      <c r="P17" s="97"/>
      <c r="Q17" s="97"/>
      <c r="R17" s="97"/>
      <c r="S17" s="97"/>
      <c r="T17" s="97"/>
      <c r="U17" s="97"/>
      <c r="V17" s="97"/>
      <c r="W17" s="97"/>
      <c r="X17" s="97"/>
      <c r="Y17" s="97"/>
      <c r="Z17" s="97"/>
      <c r="AA17" s="97"/>
      <c r="AB17" s="97"/>
    </row>
    <row r="18" spans="1:28" ht="24.9" customHeight="1">
      <c r="A18" s="33" t="s">
        <v>110</v>
      </c>
      <c r="B18" s="34"/>
      <c r="C18" s="34"/>
      <c r="D18" s="34"/>
      <c r="E18" s="34"/>
      <c r="F18" s="35"/>
      <c r="G18" s="97"/>
      <c r="H18" s="97"/>
      <c r="I18" s="97"/>
      <c r="J18" s="97"/>
      <c r="K18" s="97"/>
      <c r="L18" s="97"/>
      <c r="M18" s="97"/>
      <c r="N18" s="97"/>
      <c r="O18" s="97"/>
      <c r="P18" s="97"/>
      <c r="Q18" s="97"/>
      <c r="R18" s="97"/>
      <c r="S18" s="97"/>
      <c r="T18" s="97"/>
      <c r="U18" s="97"/>
      <c r="V18" s="103"/>
      <c r="W18" s="107"/>
      <c r="X18" s="97"/>
      <c r="Y18" s="97"/>
      <c r="Z18" s="97"/>
      <c r="AA18" s="97"/>
      <c r="AB18" s="97"/>
    </row>
    <row r="19" spans="1:28" ht="24.9" customHeight="1">
      <c r="A19" s="19"/>
      <c r="B19" s="20"/>
      <c r="C19" s="21"/>
      <c r="D19" s="20"/>
      <c r="E19" s="20"/>
      <c r="F19" s="36"/>
      <c r="G19" s="97"/>
      <c r="H19" s="97"/>
      <c r="I19" s="97"/>
      <c r="J19" s="97"/>
      <c r="K19" s="97"/>
      <c r="L19" s="97"/>
      <c r="M19" s="97"/>
      <c r="N19" s="97"/>
      <c r="O19" s="97"/>
      <c r="P19" s="97"/>
      <c r="Q19" s="97"/>
      <c r="R19" s="97"/>
      <c r="S19" s="97"/>
      <c r="T19" s="97"/>
      <c r="U19" s="97"/>
      <c r="V19" s="97"/>
      <c r="W19" s="97"/>
      <c r="X19" s="97"/>
      <c r="Y19" s="97"/>
      <c r="Z19" s="97"/>
      <c r="AA19" s="97"/>
      <c r="AB19" s="97"/>
    </row>
    <row r="20" spans="1:28" ht="24.9" customHeight="1">
      <c r="A20" s="19"/>
      <c r="B20" s="23" t="s">
        <v>14</v>
      </c>
      <c r="C20" s="37" t="s">
        <v>122</v>
      </c>
      <c r="D20" s="38"/>
      <c r="E20" s="20"/>
      <c r="F20" s="36"/>
      <c r="G20" s="97"/>
      <c r="H20" s="97"/>
      <c r="I20" s="97"/>
      <c r="J20" s="97"/>
      <c r="K20" s="97"/>
      <c r="L20" s="97"/>
      <c r="M20" s="97"/>
      <c r="N20" s="97"/>
      <c r="O20" s="97"/>
      <c r="P20" s="97"/>
      <c r="Q20" s="97"/>
      <c r="R20" s="97"/>
      <c r="S20" s="97"/>
      <c r="T20" s="97"/>
      <c r="U20" s="97"/>
      <c r="V20" s="97"/>
      <c r="W20" s="107"/>
      <c r="X20" s="97"/>
      <c r="Y20" s="97"/>
      <c r="Z20" s="97"/>
      <c r="AA20" s="97"/>
      <c r="AB20" s="97"/>
    </row>
    <row r="21" spans="1:28" ht="24.9" customHeight="1">
      <c r="A21" s="19"/>
      <c r="B21" s="23" t="s">
        <v>15</v>
      </c>
      <c r="C21" s="37" t="s">
        <v>102</v>
      </c>
      <c r="D21" s="39" t="s">
        <v>16</v>
      </c>
      <c r="E21" s="20"/>
      <c r="F21" s="36"/>
      <c r="G21" s="97"/>
      <c r="H21" s="97"/>
      <c r="I21" s="97"/>
      <c r="J21" s="97"/>
      <c r="K21" s="97"/>
      <c r="L21" s="97"/>
      <c r="M21" s="97"/>
      <c r="N21" s="97"/>
      <c r="O21" s="97"/>
      <c r="P21" s="97"/>
      <c r="Q21" s="97"/>
      <c r="R21" s="97"/>
      <c r="S21" s="97"/>
      <c r="T21" s="97"/>
      <c r="U21" s="97"/>
      <c r="V21" s="97"/>
      <c r="W21" s="97"/>
      <c r="X21" s="97"/>
      <c r="Y21" s="97"/>
      <c r="Z21" s="97"/>
      <c r="AA21" s="97"/>
      <c r="AB21" s="97"/>
    </row>
    <row r="22" spans="1:28" ht="24.9" customHeight="1">
      <c r="A22" s="19"/>
      <c r="B22" s="23" t="s">
        <v>17</v>
      </c>
      <c r="C22" s="37"/>
      <c r="D22" s="40"/>
      <c r="E22" s="20"/>
      <c r="F22" s="36"/>
      <c r="G22" s="97"/>
      <c r="H22" s="97"/>
      <c r="I22" s="97"/>
      <c r="J22" s="97"/>
      <c r="K22" s="97"/>
      <c r="L22" s="97"/>
      <c r="M22" s="97"/>
      <c r="N22" s="97"/>
      <c r="O22" s="97"/>
      <c r="P22" s="97"/>
      <c r="Q22" s="97"/>
      <c r="R22" s="97"/>
      <c r="S22" s="97"/>
      <c r="T22" s="97"/>
      <c r="U22" s="97"/>
      <c r="V22" s="97"/>
      <c r="W22" s="108"/>
      <c r="X22" s="97"/>
      <c r="Y22" s="97"/>
      <c r="Z22" s="97"/>
      <c r="AA22" s="97"/>
      <c r="AB22" s="97"/>
    </row>
    <row r="23" spans="1:28" ht="24.9" customHeight="1">
      <c r="A23" s="19"/>
      <c r="B23" s="23" t="s">
        <v>18</v>
      </c>
      <c r="C23" s="111">
        <v>11.555</v>
      </c>
      <c r="D23" s="42">
        <f>SUM((C23*1000)/25.4)/12</f>
        <v>37.91010498687664</v>
      </c>
      <c r="E23" s="38"/>
      <c r="F23" s="36"/>
      <c r="G23" s="97"/>
      <c r="H23" s="97"/>
      <c r="I23" s="97"/>
      <c r="J23" s="97"/>
      <c r="K23" s="97"/>
      <c r="L23" s="97"/>
      <c r="M23" s="97"/>
      <c r="N23" s="97"/>
      <c r="O23" s="97"/>
      <c r="P23" s="97"/>
      <c r="Q23" s="97"/>
      <c r="R23" s="97"/>
      <c r="S23" s="97"/>
      <c r="T23" s="97"/>
      <c r="U23" s="97"/>
      <c r="V23" s="97"/>
      <c r="W23" s="97"/>
      <c r="X23" s="97"/>
      <c r="Y23" s="97"/>
      <c r="Z23" s="97"/>
      <c r="AA23" s="97"/>
      <c r="AB23" s="97"/>
    </row>
    <row r="24" spans="1:28" ht="24.9" customHeight="1">
      <c r="A24" s="25"/>
      <c r="B24" s="23" t="s">
        <v>19</v>
      </c>
      <c r="C24" s="111">
        <v>6.11</v>
      </c>
      <c r="D24" s="42">
        <f>SUM((C24*1000)/25.4)/12</f>
        <v>20.045931758530184</v>
      </c>
      <c r="E24" s="38"/>
      <c r="F24" s="43"/>
      <c r="G24" s="97"/>
      <c r="H24" s="97"/>
      <c r="I24" s="97"/>
      <c r="J24" s="97"/>
      <c r="K24" s="97"/>
      <c r="L24" s="97"/>
      <c r="M24" s="97"/>
      <c r="N24" s="97"/>
      <c r="O24" s="97"/>
      <c r="P24" s="97"/>
      <c r="Q24" s="97"/>
      <c r="R24" s="97"/>
      <c r="S24" s="97"/>
      <c r="T24" s="97"/>
      <c r="U24" s="97"/>
      <c r="V24" s="97"/>
      <c r="W24" s="97"/>
      <c r="X24" s="97"/>
      <c r="Y24" s="97"/>
      <c r="Z24" s="97"/>
      <c r="AA24" s="97"/>
      <c r="AB24" s="97"/>
    </row>
    <row r="25" spans="1:28" ht="24.9" customHeight="1">
      <c r="A25" s="25"/>
      <c r="B25" s="23" t="s">
        <v>20</v>
      </c>
      <c r="C25" s="110">
        <v>2350</v>
      </c>
      <c r="D25" s="42">
        <f>SUM((C25*1000)/25.4)/12</f>
        <v>7709.9737532808404</v>
      </c>
      <c r="E25" s="44" t="s">
        <v>21</v>
      </c>
      <c r="F25" s="45" t="s">
        <v>105</v>
      </c>
      <c r="G25" s="97"/>
      <c r="H25" s="97"/>
      <c r="I25" s="97"/>
      <c r="J25" s="97"/>
      <c r="K25" s="97"/>
      <c r="L25" s="97"/>
      <c r="M25" s="97"/>
      <c r="N25" s="97"/>
      <c r="O25" s="97"/>
      <c r="P25" s="97"/>
      <c r="Q25" s="97"/>
      <c r="R25" s="97"/>
      <c r="S25" s="97"/>
      <c r="T25" s="97"/>
      <c r="U25" s="97"/>
      <c r="V25" s="97"/>
      <c r="W25" s="97"/>
      <c r="X25" s="97"/>
      <c r="Y25" s="97"/>
      <c r="Z25" s="97"/>
      <c r="AA25" s="97"/>
      <c r="AB25" s="97"/>
    </row>
    <row r="26" spans="1:28" ht="24.9" customHeight="1">
      <c r="A26" s="25"/>
      <c r="B26" s="23" t="s">
        <v>22</v>
      </c>
      <c r="C26" s="110">
        <v>2718</v>
      </c>
      <c r="D26" s="42">
        <f>SUM((C26*1000)/25.4)/12</f>
        <v>8917.322834645669</v>
      </c>
      <c r="E26" s="44" t="s">
        <v>23</v>
      </c>
      <c r="F26" s="45" t="s">
        <v>103</v>
      </c>
      <c r="G26" s="97"/>
      <c r="H26" s="97"/>
      <c r="I26" s="97"/>
      <c r="J26" s="97"/>
      <c r="K26" s="97"/>
      <c r="L26" s="97"/>
      <c r="M26" s="97"/>
      <c r="N26" s="97"/>
      <c r="O26" s="97"/>
      <c r="P26" s="97"/>
      <c r="Q26" s="97"/>
      <c r="R26" s="97"/>
      <c r="S26" s="97"/>
      <c r="T26" s="97"/>
      <c r="U26" s="97"/>
      <c r="V26" s="97"/>
      <c r="W26" s="97"/>
      <c r="X26" s="97"/>
      <c r="Y26" s="97"/>
      <c r="Z26" s="97"/>
      <c r="AA26" s="97"/>
    </row>
    <row r="27" spans="1:28" ht="24.9" customHeight="1">
      <c r="A27" s="25"/>
      <c r="B27" s="23" t="s">
        <v>107</v>
      </c>
      <c r="C27" s="41">
        <v>15.4</v>
      </c>
      <c r="D27" s="46"/>
      <c r="E27" s="23" t="s">
        <v>24</v>
      </c>
      <c r="F27" s="45"/>
    </row>
    <row r="28" spans="1:28" ht="24.9" customHeight="1">
      <c r="A28" s="25"/>
      <c r="B28" s="47" t="s">
        <v>106</v>
      </c>
      <c r="C28" s="37">
        <v>34</v>
      </c>
      <c r="D28" s="38"/>
      <c r="E28" s="48"/>
      <c r="F28" s="32"/>
    </row>
    <row r="29" spans="1:28" ht="24.9" customHeight="1">
      <c r="A29" s="25"/>
      <c r="B29" s="49" t="s">
        <v>25</v>
      </c>
      <c r="C29" s="37">
        <v>16</v>
      </c>
      <c r="D29" s="40"/>
      <c r="E29" s="48"/>
      <c r="F29" s="36"/>
    </row>
    <row r="30" spans="1:28" ht="24.9" customHeight="1">
      <c r="A30" s="25"/>
      <c r="B30" s="23" t="s">
        <v>26</v>
      </c>
      <c r="C30" s="41"/>
      <c r="D30" s="42">
        <f>SUM(C30/25.4)</f>
        <v>0</v>
      </c>
      <c r="E30" s="38"/>
      <c r="F30" s="36"/>
    </row>
    <row r="31" spans="1:28" ht="24.9" customHeight="1">
      <c r="A31" s="25"/>
      <c r="B31" s="23" t="s">
        <v>27</v>
      </c>
      <c r="C31" s="41"/>
      <c r="D31" s="42">
        <f>SUM(C31/25.4)</f>
        <v>0</v>
      </c>
      <c r="E31" s="38"/>
      <c r="F31" s="43"/>
    </row>
    <row r="32" spans="1:28" ht="24.9" customHeight="1">
      <c r="A32" s="25"/>
      <c r="B32" s="47" t="s">
        <v>28</v>
      </c>
      <c r="C32" s="41"/>
      <c r="D32" s="46"/>
      <c r="E32" s="47" t="s">
        <v>29</v>
      </c>
      <c r="F32" s="112"/>
    </row>
    <row r="33" spans="1:6" ht="24.9" customHeight="1">
      <c r="A33" s="25"/>
      <c r="B33" s="50"/>
      <c r="C33" s="51"/>
      <c r="D33" s="20"/>
      <c r="E33" s="50"/>
      <c r="F33" s="52"/>
    </row>
    <row r="34" spans="1:6" ht="24.9" customHeight="1">
      <c r="A34" s="33" t="s">
        <v>111</v>
      </c>
      <c r="B34" s="53"/>
      <c r="C34" s="34"/>
      <c r="D34" s="34"/>
      <c r="E34" s="34"/>
      <c r="F34" s="35"/>
    </row>
    <row r="35" spans="1:6" ht="24.9" customHeight="1">
      <c r="A35" s="25"/>
      <c r="B35" s="48"/>
      <c r="C35" s="21"/>
      <c r="D35" s="21"/>
      <c r="E35" s="20"/>
      <c r="F35" s="43"/>
    </row>
    <row r="36" spans="1:6" ht="24.9" customHeight="1">
      <c r="A36" s="25"/>
      <c r="B36" s="23" t="s">
        <v>30</v>
      </c>
      <c r="C36" s="37" t="s">
        <v>124</v>
      </c>
      <c r="D36" s="54" t="s">
        <v>31</v>
      </c>
      <c r="E36" s="44" t="s">
        <v>32</v>
      </c>
      <c r="F36" s="45" t="s">
        <v>104</v>
      </c>
    </row>
    <row r="37" spans="1:6" ht="24.9" customHeight="1">
      <c r="A37" s="25"/>
      <c r="B37" s="49" t="s">
        <v>33</v>
      </c>
      <c r="C37" s="96">
        <v>10.199999999999999</v>
      </c>
      <c r="D37" s="55"/>
      <c r="E37" s="23" t="s">
        <v>34</v>
      </c>
      <c r="F37" s="45" t="s">
        <v>120</v>
      </c>
    </row>
    <row r="38" spans="1:6" ht="24.9" customHeight="1">
      <c r="A38" s="25"/>
      <c r="B38" s="47" t="s">
        <v>35</v>
      </c>
      <c r="C38" s="37" t="s">
        <v>123</v>
      </c>
      <c r="D38" s="54" t="s">
        <v>31</v>
      </c>
      <c r="E38" s="44" t="s">
        <v>36</v>
      </c>
      <c r="F38" s="45"/>
    </row>
    <row r="39" spans="1:6" ht="24.9" customHeight="1">
      <c r="A39" s="25"/>
      <c r="B39" s="49" t="s">
        <v>37</v>
      </c>
      <c r="C39" s="37">
        <v>81.5</v>
      </c>
      <c r="D39" s="46"/>
      <c r="E39" s="20"/>
      <c r="F39" s="32"/>
    </row>
    <row r="40" spans="1:6" ht="24.9" customHeight="1">
      <c r="A40" s="25"/>
      <c r="B40" s="47" t="s">
        <v>38</v>
      </c>
      <c r="C40" s="96">
        <v>31.6</v>
      </c>
      <c r="D40" s="38"/>
      <c r="E40" s="20"/>
      <c r="F40" s="36"/>
    </row>
    <row r="41" spans="1:6" ht="24.9" customHeight="1">
      <c r="A41" s="25"/>
      <c r="B41" s="47" t="s">
        <v>39</v>
      </c>
      <c r="C41" s="37">
        <v>21</v>
      </c>
      <c r="D41" s="40"/>
      <c r="E41" s="20"/>
      <c r="F41" s="36"/>
    </row>
    <row r="42" spans="1:6" ht="24.9" customHeight="1">
      <c r="A42" s="25"/>
      <c r="B42" s="47" t="s">
        <v>40</v>
      </c>
      <c r="C42" s="41">
        <v>140</v>
      </c>
      <c r="D42" s="42">
        <f>SUM(C42/25.4)</f>
        <v>5.5118110236220472</v>
      </c>
      <c r="E42" s="38"/>
      <c r="F42" s="43"/>
    </row>
    <row r="43" spans="1:6" ht="24.9" customHeight="1">
      <c r="A43" s="25"/>
      <c r="B43" s="47" t="s">
        <v>41</v>
      </c>
      <c r="C43" s="37">
        <v>127</v>
      </c>
      <c r="D43" s="46"/>
      <c r="E43" s="47" t="s">
        <v>42</v>
      </c>
      <c r="F43" s="145">
        <v>1.117</v>
      </c>
    </row>
    <row r="44" spans="1:6" ht="24.9" customHeight="1">
      <c r="A44" s="25"/>
      <c r="B44" s="47" t="s">
        <v>43</v>
      </c>
      <c r="C44" s="37">
        <v>4345</v>
      </c>
      <c r="D44" s="38"/>
      <c r="E44" s="47" t="s">
        <v>44</v>
      </c>
      <c r="F44" s="45">
        <v>1200</v>
      </c>
    </row>
    <row r="45" spans="1:6" ht="24.9" customHeight="1">
      <c r="A45" s="25"/>
      <c r="B45" s="50"/>
      <c r="C45" s="31"/>
      <c r="D45" s="20"/>
      <c r="E45" s="20"/>
      <c r="F45" s="32"/>
    </row>
    <row r="46" spans="1:6" ht="24.9" customHeight="1">
      <c r="A46" s="33" t="s">
        <v>112</v>
      </c>
      <c r="B46" s="34"/>
      <c r="C46" s="34"/>
      <c r="D46" s="34"/>
      <c r="E46" s="34"/>
      <c r="F46" s="35"/>
    </row>
    <row r="47" spans="1:6" ht="24.9" customHeight="1">
      <c r="A47" s="19"/>
      <c r="B47" s="20"/>
      <c r="C47" s="21"/>
      <c r="D47" s="20"/>
      <c r="E47" s="20"/>
      <c r="F47" s="36"/>
    </row>
    <row r="48" spans="1:6" ht="24.9" customHeight="1">
      <c r="A48" s="19"/>
      <c r="B48" s="23" t="s">
        <v>45</v>
      </c>
      <c r="C48" s="56" t="s">
        <v>121</v>
      </c>
      <c r="D48" s="39" t="s">
        <v>46</v>
      </c>
      <c r="E48" s="21"/>
      <c r="F48" s="36"/>
    </row>
    <row r="49" spans="1:6" ht="24.9" customHeight="1">
      <c r="A49" s="19"/>
      <c r="B49" s="57" t="s">
        <v>47</v>
      </c>
      <c r="C49" s="27">
        <v>11.4</v>
      </c>
      <c r="D49" s="58" t="s">
        <v>48</v>
      </c>
      <c r="E49" s="27">
        <v>2730</v>
      </c>
      <c r="F49" s="59" t="s">
        <v>49</v>
      </c>
    </row>
    <row r="50" spans="1:6" ht="24.9" customHeight="1">
      <c r="A50" s="60"/>
      <c r="B50" s="133" t="s">
        <v>50</v>
      </c>
      <c r="C50" s="134"/>
      <c r="D50" s="135"/>
      <c r="E50" s="46"/>
      <c r="F50" s="36"/>
    </row>
    <row r="51" spans="1:6" ht="24.9" customHeight="1">
      <c r="A51" s="60"/>
      <c r="B51" s="61" t="s">
        <v>51</v>
      </c>
      <c r="C51" s="61" t="s">
        <v>125</v>
      </c>
      <c r="D51" s="61" t="s">
        <v>52</v>
      </c>
      <c r="E51" s="38"/>
      <c r="F51" s="36"/>
    </row>
    <row r="52" spans="1:6" ht="24.9" customHeight="1">
      <c r="A52" s="60"/>
      <c r="B52" s="62">
        <v>1</v>
      </c>
      <c r="C52" s="146">
        <v>212</v>
      </c>
      <c r="D52" s="146">
        <v>100</v>
      </c>
      <c r="E52" s="38"/>
      <c r="F52" s="36"/>
    </row>
    <row r="53" spans="1:6" ht="24.9" customHeight="1">
      <c r="A53" s="60"/>
      <c r="B53" s="62">
        <v>2</v>
      </c>
      <c r="C53" s="146">
        <v>106</v>
      </c>
      <c r="D53" s="146">
        <v>83.3</v>
      </c>
      <c r="E53" s="38"/>
      <c r="F53" s="36"/>
    </row>
    <row r="54" spans="1:6" ht="24.9" customHeight="1">
      <c r="A54" s="60"/>
      <c r="B54" s="62">
        <v>3</v>
      </c>
      <c r="C54" s="146">
        <v>53</v>
      </c>
      <c r="D54" s="146">
        <v>32.4</v>
      </c>
      <c r="E54" s="38"/>
      <c r="F54" s="36"/>
    </row>
    <row r="55" spans="1:6" ht="24.9" customHeight="1">
      <c r="A55" s="60"/>
      <c r="B55" s="62">
        <v>4</v>
      </c>
      <c r="C55" s="146">
        <v>26.5</v>
      </c>
      <c r="D55" s="146">
        <v>14.4</v>
      </c>
      <c r="E55" s="38"/>
      <c r="F55" s="36"/>
    </row>
    <row r="56" spans="1:6" ht="24.9" customHeight="1">
      <c r="A56" s="60"/>
      <c r="B56" s="62">
        <v>5</v>
      </c>
      <c r="C56" s="146">
        <v>9.5</v>
      </c>
      <c r="D56" s="146">
        <v>9.6999999999999993</v>
      </c>
      <c r="E56" s="38"/>
      <c r="F56" s="36"/>
    </row>
    <row r="57" spans="1:6" ht="24.9" customHeight="1">
      <c r="A57" s="60"/>
      <c r="B57" s="62">
        <v>6</v>
      </c>
      <c r="C57" s="146">
        <v>2.36</v>
      </c>
      <c r="D57" s="146">
        <v>5.6</v>
      </c>
      <c r="E57" s="38"/>
      <c r="F57" s="36"/>
    </row>
    <row r="58" spans="1:6" ht="24.9" customHeight="1">
      <c r="A58" s="25"/>
      <c r="B58" s="31"/>
      <c r="C58" s="31"/>
      <c r="D58" s="31"/>
      <c r="E58" s="20"/>
      <c r="F58" s="36"/>
    </row>
    <row r="59" spans="1:6" ht="24.9" customHeight="1">
      <c r="A59" s="33" t="s">
        <v>113</v>
      </c>
      <c r="B59" s="34"/>
      <c r="C59" s="34"/>
      <c r="D59" s="34"/>
      <c r="E59" s="34"/>
      <c r="F59" s="35"/>
    </row>
    <row r="60" spans="1:6" ht="24.9" customHeight="1">
      <c r="A60" s="25"/>
      <c r="B60" s="20"/>
      <c r="C60" s="21"/>
      <c r="D60" s="20"/>
      <c r="E60" s="21"/>
      <c r="F60" s="36"/>
    </row>
    <row r="61" spans="1:6" ht="24.9" customHeight="1">
      <c r="A61" s="25"/>
      <c r="B61" s="57" t="s">
        <v>53</v>
      </c>
      <c r="C61" s="56" t="s">
        <v>108</v>
      </c>
      <c r="D61" s="58" t="s">
        <v>48</v>
      </c>
      <c r="E61" s="27">
        <v>4645</v>
      </c>
      <c r="F61" s="59" t="s">
        <v>49</v>
      </c>
    </row>
    <row r="62" spans="1:6" ht="24.9" customHeight="1">
      <c r="A62" s="63"/>
      <c r="B62" s="125" t="s">
        <v>54</v>
      </c>
      <c r="C62" s="126"/>
      <c r="D62" s="127"/>
      <c r="E62" s="46"/>
      <c r="F62" s="36"/>
    </row>
    <row r="63" spans="1:6" ht="24.9" customHeight="1">
      <c r="A63" s="63"/>
      <c r="B63" s="64" t="s">
        <v>55</v>
      </c>
      <c r="C63" s="64" t="s">
        <v>125</v>
      </c>
      <c r="D63" s="64" t="s">
        <v>52</v>
      </c>
      <c r="E63" s="38"/>
      <c r="F63" s="36"/>
    </row>
    <row r="64" spans="1:6" ht="24.9" customHeight="1">
      <c r="A64" s="63"/>
      <c r="B64" s="65">
        <v>1</v>
      </c>
      <c r="C64" s="66">
        <v>140</v>
      </c>
      <c r="D64" s="66">
        <v>16</v>
      </c>
      <c r="E64" s="38"/>
      <c r="F64" s="36"/>
    </row>
    <row r="65" spans="1:6" ht="24.9" customHeight="1">
      <c r="A65" s="63"/>
      <c r="B65" s="65">
        <v>2</v>
      </c>
      <c r="C65" s="66">
        <v>133</v>
      </c>
      <c r="D65" s="66">
        <v>24</v>
      </c>
      <c r="E65" s="38"/>
      <c r="F65" s="36"/>
    </row>
    <row r="66" spans="1:6" ht="24.9" customHeight="1">
      <c r="A66" s="63"/>
      <c r="B66" s="65">
        <v>3</v>
      </c>
      <c r="C66" s="66">
        <v>127</v>
      </c>
      <c r="D66" s="66">
        <v>60</v>
      </c>
      <c r="E66" s="38"/>
      <c r="F66" s="36"/>
    </row>
    <row r="67" spans="1:6" ht="24.9" customHeight="1">
      <c r="A67" s="63"/>
      <c r="B67" s="65">
        <v>4</v>
      </c>
      <c r="C67" s="66"/>
      <c r="D67" s="66"/>
      <c r="E67" s="38"/>
      <c r="F67" s="36"/>
    </row>
    <row r="68" spans="1:6" ht="24.9" customHeight="1">
      <c r="A68" s="63"/>
      <c r="B68" s="65">
        <v>5</v>
      </c>
      <c r="C68" s="66"/>
      <c r="D68" s="66"/>
      <c r="E68" s="38"/>
      <c r="F68" s="36"/>
    </row>
    <row r="69" spans="1:6" ht="24.9" customHeight="1">
      <c r="A69" s="63"/>
      <c r="B69" s="65">
        <v>6</v>
      </c>
      <c r="C69" s="66"/>
      <c r="D69" s="66"/>
      <c r="E69" s="38"/>
      <c r="F69" s="36"/>
    </row>
    <row r="70" spans="1:6" ht="24.9" customHeight="1">
      <c r="A70" s="67"/>
      <c r="B70" s="68"/>
      <c r="C70" s="69"/>
      <c r="D70" s="69"/>
      <c r="E70" s="70"/>
      <c r="F70" s="71"/>
    </row>
  </sheetData>
  <mergeCells count="11">
    <mergeCell ref="P16:S16"/>
    <mergeCell ref="P12:S13"/>
    <mergeCell ref="C14:E14"/>
    <mergeCell ref="B62:D62"/>
    <mergeCell ref="A2:B2"/>
    <mergeCell ref="C13:E13"/>
    <mergeCell ref="E16:F16"/>
    <mergeCell ref="B50:D50"/>
    <mergeCell ref="C12:E12"/>
    <mergeCell ref="C2:E2"/>
    <mergeCell ref="C11:E11"/>
  </mergeCells>
  <hyperlinks>
    <hyperlink ref="E16" r:id="rId1" xr:uid="{552D0795-D5D6-4C1C-BE7A-50A57B99DF84}"/>
  </hyperlinks>
  <pageMargins left="1" right="1" top="1" bottom="1" header="0.25" footer="0.25"/>
  <pageSetup scale="43" orientation="portrait" r:id="rId2"/>
  <headerFooter>
    <oddFooter>&amp;L&amp;"Arial,Regular"&amp;10&amp;K000000Page 1 of 2</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IV75"/>
  <sheetViews>
    <sheetView showGridLines="0" zoomScale="60" zoomScaleNormal="60" zoomScalePageLayoutView="60" workbookViewId="0"/>
  </sheetViews>
  <sheetFormatPr defaultColWidth="8.90625" defaultRowHeight="12.75" customHeight="1"/>
  <cols>
    <col min="1" max="1" width="22.453125" style="72" customWidth="1"/>
    <col min="2" max="2" width="42" style="72" customWidth="1"/>
    <col min="3" max="3" width="34.6328125" style="72" customWidth="1"/>
    <col min="4" max="4" width="35.36328125" style="72" customWidth="1"/>
    <col min="5" max="5" width="31.08984375" style="72" customWidth="1"/>
    <col min="6" max="6" width="28.6328125" style="72" customWidth="1"/>
    <col min="7" max="8" width="9.08984375" style="72" customWidth="1"/>
    <col min="9" max="256" width="8.90625" style="72" customWidth="1"/>
  </cols>
  <sheetData>
    <row r="1" spans="1:8" ht="24.9" customHeight="1">
      <c r="A1" s="6"/>
      <c r="B1" s="7"/>
      <c r="C1" s="7"/>
      <c r="D1" s="7"/>
      <c r="E1" s="7"/>
      <c r="F1" s="8"/>
      <c r="G1" s="73"/>
      <c r="H1" s="74"/>
    </row>
    <row r="2" spans="1:8" ht="69.75" customHeight="1">
      <c r="A2" s="139"/>
      <c r="B2" s="140"/>
      <c r="C2" s="140"/>
      <c r="D2" s="140"/>
      <c r="E2" s="140"/>
      <c r="F2" s="141"/>
      <c r="G2" s="73"/>
      <c r="H2" s="75"/>
    </row>
    <row r="3" spans="1:8" ht="69.75" customHeight="1">
      <c r="A3" s="9"/>
      <c r="B3" s="10"/>
      <c r="C3" s="11"/>
      <c r="D3" s="11"/>
      <c r="E3" s="11"/>
      <c r="F3" s="12"/>
      <c r="G3" s="73"/>
      <c r="H3" s="75"/>
    </row>
    <row r="4" spans="1:8" ht="24.9" customHeight="1">
      <c r="A4" s="33" t="s">
        <v>57</v>
      </c>
      <c r="B4" s="34"/>
      <c r="C4" s="34"/>
      <c r="D4" s="34"/>
      <c r="E4" s="34"/>
      <c r="F4" s="35"/>
      <c r="G4" s="73"/>
      <c r="H4" s="74"/>
    </row>
    <row r="5" spans="1:8" ht="24.9" customHeight="1">
      <c r="A5" s="25"/>
      <c r="B5" s="21"/>
      <c r="C5" s="21"/>
      <c r="D5" s="21"/>
      <c r="E5" s="21"/>
      <c r="F5" s="43"/>
      <c r="G5" s="73"/>
      <c r="H5" s="74"/>
    </row>
    <row r="6" spans="1:8" ht="24.9" customHeight="1">
      <c r="A6" s="63"/>
      <c r="B6" s="142" t="s">
        <v>58</v>
      </c>
      <c r="C6" s="143"/>
      <c r="D6" s="143"/>
      <c r="E6" s="143"/>
      <c r="F6" s="144"/>
      <c r="G6" s="73"/>
      <c r="H6" s="74"/>
    </row>
    <row r="7" spans="1:8" ht="24.9" customHeight="1">
      <c r="A7" s="63"/>
      <c r="B7" s="28" t="s">
        <v>59</v>
      </c>
      <c r="C7" s="37"/>
      <c r="D7" s="46"/>
      <c r="E7" s="31"/>
      <c r="F7" s="32"/>
      <c r="G7" s="73"/>
      <c r="H7" s="74"/>
    </row>
    <row r="8" spans="1:8" ht="24.9" customHeight="1">
      <c r="A8" s="63"/>
      <c r="B8" s="44" t="s">
        <v>60</v>
      </c>
      <c r="C8" s="37"/>
      <c r="D8" s="39" t="s">
        <v>61</v>
      </c>
      <c r="E8" s="20"/>
      <c r="F8" s="36"/>
      <c r="G8" s="73"/>
      <c r="H8" s="74"/>
    </row>
    <row r="9" spans="1:8" ht="24.9" customHeight="1">
      <c r="A9" s="63"/>
      <c r="B9" s="44" t="s">
        <v>62</v>
      </c>
      <c r="C9" s="37"/>
      <c r="D9" s="38"/>
      <c r="E9" s="20"/>
      <c r="F9" s="36"/>
      <c r="G9" s="73"/>
      <c r="H9" s="74"/>
    </row>
    <row r="10" spans="1:8" ht="24.9" customHeight="1">
      <c r="A10" s="63"/>
      <c r="B10" s="44" t="s">
        <v>63</v>
      </c>
      <c r="C10" s="37"/>
      <c r="D10" s="76" t="s">
        <v>64</v>
      </c>
      <c r="E10" s="20"/>
      <c r="F10" s="36"/>
      <c r="G10" s="73"/>
      <c r="H10" s="74"/>
    </row>
    <row r="11" spans="1:8" ht="24.9" customHeight="1">
      <c r="A11" s="63"/>
      <c r="B11" s="44" t="s">
        <v>65</v>
      </c>
      <c r="C11" s="77" t="s">
        <v>66</v>
      </c>
      <c r="D11" s="37"/>
      <c r="E11" s="78" t="s">
        <v>67</v>
      </c>
      <c r="F11" s="36"/>
      <c r="G11" s="73"/>
      <c r="H11" s="74"/>
    </row>
    <row r="12" spans="1:8" ht="24.9" customHeight="1">
      <c r="A12" s="63"/>
      <c r="B12" s="79"/>
      <c r="C12" s="77" t="s">
        <v>68</v>
      </c>
      <c r="D12" s="37"/>
      <c r="E12" s="38"/>
      <c r="F12" s="36"/>
      <c r="G12" s="73"/>
      <c r="H12" s="74"/>
    </row>
    <row r="13" spans="1:8" ht="24.9" customHeight="1">
      <c r="A13" s="63"/>
      <c r="B13" s="79"/>
      <c r="C13" s="77" t="s">
        <v>69</v>
      </c>
      <c r="D13" s="37"/>
      <c r="E13" s="38"/>
      <c r="F13" s="36"/>
      <c r="G13" s="73"/>
      <c r="H13" s="74"/>
    </row>
    <row r="14" spans="1:8" ht="24.9" customHeight="1">
      <c r="A14" s="63"/>
      <c r="B14" s="79"/>
      <c r="C14" s="77" t="s">
        <v>70</v>
      </c>
      <c r="D14" s="37"/>
      <c r="E14" s="38"/>
      <c r="F14" s="36"/>
      <c r="G14" s="73"/>
      <c r="H14" s="74"/>
    </row>
    <row r="15" spans="1:8" ht="24.9" customHeight="1">
      <c r="A15" s="63"/>
      <c r="B15" s="44" t="s">
        <v>71</v>
      </c>
      <c r="C15" s="37"/>
      <c r="D15" s="46"/>
      <c r="E15" s="20"/>
      <c r="F15" s="36"/>
      <c r="G15" s="73"/>
      <c r="H15" s="74"/>
    </row>
    <row r="16" spans="1:8" ht="24.9" customHeight="1">
      <c r="A16" s="63"/>
      <c r="B16" s="44" t="s">
        <v>72</v>
      </c>
      <c r="C16" s="37"/>
      <c r="D16" s="39" t="s">
        <v>73</v>
      </c>
      <c r="E16" s="20"/>
      <c r="F16" s="36"/>
      <c r="G16" s="73"/>
      <c r="H16" s="74"/>
    </row>
    <row r="17" spans="1:256" ht="24.9" customHeight="1">
      <c r="A17" s="63"/>
      <c r="B17" s="58" t="s">
        <v>74</v>
      </c>
      <c r="C17" s="37"/>
      <c r="D17" s="38"/>
      <c r="E17" s="20"/>
      <c r="F17" s="36"/>
      <c r="G17" s="73"/>
      <c r="H17" s="74"/>
    </row>
    <row r="18" spans="1:256" ht="24.9" customHeight="1">
      <c r="A18" s="25"/>
      <c r="B18" s="80"/>
      <c r="C18" s="81"/>
      <c r="D18" s="21"/>
      <c r="E18" s="21"/>
      <c r="F18" s="43"/>
      <c r="G18" s="73"/>
      <c r="H18" s="74"/>
    </row>
    <row r="19" spans="1:256" ht="24.9" customHeight="1">
      <c r="A19" s="63"/>
      <c r="B19" s="142" t="s">
        <v>75</v>
      </c>
      <c r="C19" s="143"/>
      <c r="D19" s="143"/>
      <c r="E19" s="143"/>
      <c r="F19" s="144"/>
      <c r="G19" s="73"/>
      <c r="H19" s="74"/>
    </row>
    <row r="20" spans="1:256" ht="24.9" customHeight="1">
      <c r="A20" s="63"/>
      <c r="B20" s="28" t="s">
        <v>59</v>
      </c>
      <c r="C20" s="37"/>
      <c r="D20" s="46"/>
      <c r="E20" s="31"/>
      <c r="F20" s="32"/>
      <c r="G20" s="73"/>
      <c r="H20" s="74"/>
    </row>
    <row r="21" spans="1:256" ht="24.9" customHeight="1">
      <c r="A21" s="63"/>
      <c r="B21" s="44" t="s">
        <v>60</v>
      </c>
      <c r="C21" s="37"/>
      <c r="D21" s="39" t="s">
        <v>61</v>
      </c>
      <c r="E21" s="20"/>
      <c r="F21" s="36"/>
      <c r="G21" s="73"/>
      <c r="H21" s="74"/>
    </row>
    <row r="22" spans="1:256" ht="24.9" customHeight="1">
      <c r="A22" s="63"/>
      <c r="B22" s="44" t="s">
        <v>62</v>
      </c>
      <c r="C22" s="37"/>
      <c r="D22" s="38"/>
      <c r="E22" s="20"/>
      <c r="F22" s="36"/>
      <c r="G22" s="73"/>
      <c r="H22" s="74"/>
    </row>
    <row r="23" spans="1:256" ht="24.9" customHeight="1">
      <c r="A23" s="63"/>
      <c r="B23" s="44" t="s">
        <v>63</v>
      </c>
      <c r="C23" s="37"/>
      <c r="D23" s="39" t="s">
        <v>76</v>
      </c>
      <c r="E23" s="20"/>
      <c r="F23" s="36"/>
      <c r="G23" s="73"/>
      <c r="H23" s="74"/>
    </row>
    <row r="24" spans="1:256" ht="24.9" customHeight="1">
      <c r="A24" s="63"/>
      <c r="B24" s="44" t="s">
        <v>77</v>
      </c>
      <c r="C24" s="37"/>
      <c r="D24" s="39" t="s">
        <v>78</v>
      </c>
      <c r="E24" s="20"/>
      <c r="F24" s="36"/>
      <c r="G24" s="73"/>
      <c r="H24" s="74"/>
    </row>
    <row r="25" spans="1:256" ht="24.9" customHeight="1">
      <c r="A25" s="63"/>
      <c r="B25" s="82" t="s">
        <v>79</v>
      </c>
      <c r="C25" s="37"/>
      <c r="D25" s="83"/>
      <c r="E25" s="84"/>
      <c r="F25" s="36"/>
      <c r="G25" s="73"/>
      <c r="H25" s="74"/>
    </row>
    <row r="26" spans="1:256" ht="24.9" customHeight="1">
      <c r="A26" s="63"/>
      <c r="B26" s="82" t="s">
        <v>80</v>
      </c>
      <c r="C26" s="37"/>
      <c r="D26" s="38"/>
      <c r="E26" s="20"/>
      <c r="F26" s="36"/>
      <c r="G26" s="73"/>
      <c r="H26" s="74"/>
    </row>
    <row r="27" spans="1:256" ht="24.9" customHeight="1">
      <c r="A27" s="63"/>
      <c r="B27" s="82" t="s">
        <v>81</v>
      </c>
      <c r="C27" s="37"/>
      <c r="D27" s="38"/>
      <c r="E27" s="20"/>
      <c r="F27" s="36"/>
      <c r="G27" s="73"/>
      <c r="H27" s="74"/>
    </row>
    <row r="28" spans="1:256" ht="24.9" customHeight="1">
      <c r="A28" s="63"/>
      <c r="B28" s="44" t="s">
        <v>71</v>
      </c>
      <c r="C28" s="37"/>
      <c r="D28" s="38" t="s">
        <v>115</v>
      </c>
      <c r="E28" s="21"/>
      <c r="F28" s="36"/>
      <c r="G28" s="73"/>
      <c r="H28" s="74"/>
    </row>
    <row r="29" spans="1:256" ht="24.9" customHeight="1">
      <c r="A29" s="63"/>
      <c r="B29" s="44" t="s">
        <v>74</v>
      </c>
      <c r="C29" s="37"/>
      <c r="D29" s="85" t="s">
        <v>82</v>
      </c>
      <c r="E29" s="37"/>
      <c r="F29" s="59" t="s">
        <v>83</v>
      </c>
      <c r="G29" s="73"/>
      <c r="H29" s="74"/>
    </row>
    <row r="30" spans="1:256" ht="24.9" customHeight="1">
      <c r="A30" s="63"/>
      <c r="B30" s="44" t="s">
        <v>84</v>
      </c>
      <c r="C30" s="37"/>
      <c r="D30" s="85" t="s">
        <v>82</v>
      </c>
      <c r="E30" s="37"/>
      <c r="F30" s="59" t="s">
        <v>83</v>
      </c>
      <c r="G30" s="73"/>
      <c r="H30" s="74"/>
    </row>
    <row r="31" spans="1:256" s="116" customFormat="1" ht="24.9" customHeight="1">
      <c r="A31" s="63"/>
      <c r="B31" s="44" t="s">
        <v>114</v>
      </c>
      <c r="C31" s="37"/>
      <c r="D31" s="85"/>
      <c r="E31" s="37"/>
      <c r="F31" s="59"/>
      <c r="G31" s="73"/>
      <c r="H31" s="74"/>
      <c r="I31" s="72"/>
      <c r="J31" s="72"/>
      <c r="K31" s="72"/>
      <c r="L31" s="72"/>
      <c r="M31" s="72"/>
      <c r="N31" s="72"/>
      <c r="O31" s="72"/>
      <c r="P31" s="72"/>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BC31" s="72"/>
      <c r="BD31" s="72"/>
      <c r="BE31" s="72"/>
      <c r="BF31" s="72"/>
      <c r="BG31" s="72"/>
      <c r="BH31" s="72"/>
      <c r="BI31" s="72"/>
      <c r="BJ31" s="72"/>
      <c r="BK31" s="72"/>
      <c r="BL31" s="72"/>
      <c r="BM31" s="72"/>
      <c r="BN31" s="72"/>
      <c r="BO31" s="72"/>
      <c r="BP31" s="72"/>
      <c r="BQ31" s="72"/>
      <c r="BR31" s="72"/>
      <c r="BS31" s="72"/>
      <c r="BT31" s="72"/>
      <c r="BU31" s="72"/>
      <c r="BV31" s="72"/>
      <c r="BW31" s="72"/>
      <c r="BX31" s="72"/>
      <c r="BY31" s="72"/>
      <c r="BZ31" s="72"/>
      <c r="CA31" s="72"/>
      <c r="CB31" s="72"/>
      <c r="CC31" s="72"/>
      <c r="CD31" s="72"/>
      <c r="CE31" s="72"/>
      <c r="CF31" s="72"/>
      <c r="CG31" s="72"/>
      <c r="CH31" s="72"/>
      <c r="CI31" s="72"/>
      <c r="CJ31" s="72"/>
      <c r="CK31" s="72"/>
      <c r="CL31" s="72"/>
      <c r="CM31" s="72"/>
      <c r="CN31" s="72"/>
      <c r="CO31" s="72"/>
      <c r="CP31" s="72"/>
      <c r="CQ31" s="72"/>
      <c r="CR31" s="72"/>
      <c r="CS31" s="72"/>
      <c r="CT31" s="72"/>
      <c r="CU31" s="72"/>
      <c r="CV31" s="72"/>
      <c r="CW31" s="72"/>
      <c r="CX31" s="72"/>
      <c r="CY31" s="72"/>
      <c r="CZ31" s="72"/>
      <c r="DA31" s="72"/>
      <c r="DB31" s="72"/>
      <c r="DC31" s="72"/>
      <c r="DD31" s="72"/>
      <c r="DE31" s="72"/>
      <c r="DF31" s="72"/>
      <c r="DG31" s="72"/>
      <c r="DH31" s="72"/>
      <c r="DI31" s="72"/>
      <c r="DJ31" s="72"/>
      <c r="DK31" s="72"/>
      <c r="DL31" s="72"/>
      <c r="DM31" s="72"/>
      <c r="DN31" s="72"/>
      <c r="DO31" s="72"/>
      <c r="DP31" s="72"/>
      <c r="DQ31" s="72"/>
      <c r="DR31" s="72"/>
      <c r="DS31" s="72"/>
      <c r="DT31" s="72"/>
      <c r="DU31" s="72"/>
      <c r="DV31" s="72"/>
      <c r="DW31" s="72"/>
      <c r="DX31" s="72"/>
      <c r="DY31" s="72"/>
      <c r="DZ31" s="72"/>
      <c r="EA31" s="72"/>
      <c r="EB31" s="72"/>
      <c r="EC31" s="72"/>
      <c r="ED31" s="72"/>
      <c r="EE31" s="72"/>
      <c r="EF31" s="72"/>
      <c r="EG31" s="72"/>
      <c r="EH31" s="72"/>
      <c r="EI31" s="72"/>
      <c r="EJ31" s="72"/>
      <c r="EK31" s="72"/>
      <c r="EL31" s="72"/>
      <c r="EM31" s="72"/>
      <c r="EN31" s="72"/>
      <c r="EO31" s="72"/>
      <c r="EP31" s="72"/>
      <c r="EQ31" s="72"/>
      <c r="ER31" s="72"/>
      <c r="ES31" s="72"/>
      <c r="ET31" s="72"/>
      <c r="EU31" s="72"/>
      <c r="EV31" s="72"/>
      <c r="EW31" s="72"/>
      <c r="EX31" s="72"/>
      <c r="EY31" s="72"/>
      <c r="EZ31" s="72"/>
      <c r="FA31" s="72"/>
      <c r="FB31" s="72"/>
      <c r="FC31" s="72"/>
      <c r="FD31" s="72"/>
      <c r="FE31" s="72"/>
      <c r="FF31" s="72"/>
      <c r="FG31" s="72"/>
      <c r="FH31" s="72"/>
      <c r="FI31" s="72"/>
      <c r="FJ31" s="72"/>
      <c r="FK31" s="72"/>
      <c r="FL31" s="72"/>
      <c r="FM31" s="72"/>
      <c r="FN31" s="72"/>
      <c r="FO31" s="72"/>
      <c r="FP31" s="72"/>
      <c r="FQ31" s="72"/>
      <c r="FR31" s="72"/>
      <c r="FS31" s="72"/>
      <c r="FT31" s="72"/>
      <c r="FU31" s="72"/>
      <c r="FV31" s="72"/>
      <c r="FW31" s="72"/>
      <c r="FX31" s="72"/>
      <c r="FY31" s="72"/>
      <c r="FZ31" s="72"/>
      <c r="GA31" s="72"/>
      <c r="GB31" s="72"/>
      <c r="GC31" s="72"/>
      <c r="GD31" s="72"/>
      <c r="GE31" s="72"/>
      <c r="GF31" s="72"/>
      <c r="GG31" s="72"/>
      <c r="GH31" s="72"/>
      <c r="GI31" s="72"/>
      <c r="GJ31" s="72"/>
      <c r="GK31" s="72"/>
      <c r="GL31" s="72"/>
      <c r="GM31" s="72"/>
      <c r="GN31" s="72"/>
      <c r="GO31" s="72"/>
      <c r="GP31" s="72"/>
      <c r="GQ31" s="72"/>
      <c r="GR31" s="72"/>
      <c r="GS31" s="72"/>
      <c r="GT31" s="72"/>
      <c r="GU31" s="72"/>
      <c r="GV31" s="72"/>
      <c r="GW31" s="72"/>
      <c r="GX31" s="72"/>
      <c r="GY31" s="72"/>
      <c r="GZ31" s="72"/>
      <c r="HA31" s="72"/>
      <c r="HB31" s="72"/>
      <c r="HC31" s="72"/>
      <c r="HD31" s="72"/>
      <c r="HE31" s="72"/>
      <c r="HF31" s="72"/>
      <c r="HG31" s="72"/>
      <c r="HH31" s="72"/>
      <c r="HI31" s="72"/>
      <c r="HJ31" s="72"/>
      <c r="HK31" s="72"/>
      <c r="HL31" s="72"/>
      <c r="HM31" s="72"/>
      <c r="HN31" s="72"/>
      <c r="HO31" s="72"/>
      <c r="HP31" s="72"/>
      <c r="HQ31" s="72"/>
      <c r="HR31" s="72"/>
      <c r="HS31" s="72"/>
      <c r="HT31" s="72"/>
      <c r="HU31" s="72"/>
      <c r="HV31" s="72"/>
      <c r="HW31" s="72"/>
      <c r="HX31" s="72"/>
      <c r="HY31" s="72"/>
      <c r="HZ31" s="72"/>
      <c r="IA31" s="72"/>
      <c r="IB31" s="72"/>
      <c r="IC31" s="72"/>
      <c r="ID31" s="72"/>
      <c r="IE31" s="72"/>
      <c r="IF31" s="72"/>
      <c r="IG31" s="72"/>
      <c r="IH31" s="72"/>
      <c r="II31" s="72"/>
      <c r="IJ31" s="72"/>
      <c r="IK31" s="72"/>
      <c r="IL31" s="72"/>
      <c r="IM31" s="72"/>
      <c r="IN31" s="72"/>
      <c r="IO31" s="72"/>
      <c r="IP31" s="72"/>
      <c r="IQ31" s="72"/>
      <c r="IR31" s="72"/>
      <c r="IS31" s="72"/>
      <c r="IT31" s="72"/>
      <c r="IU31" s="72"/>
      <c r="IV31" s="72"/>
    </row>
    <row r="32" spans="1:256" ht="24.9" customHeight="1">
      <c r="A32" s="63"/>
      <c r="B32" s="44" t="s">
        <v>85</v>
      </c>
      <c r="C32" s="37"/>
      <c r="D32" s="85" t="s">
        <v>82</v>
      </c>
      <c r="E32" s="37"/>
      <c r="F32" s="59" t="s">
        <v>83</v>
      </c>
      <c r="G32" s="73"/>
      <c r="H32" s="74"/>
    </row>
    <row r="33" spans="1:8" ht="24.9" customHeight="1">
      <c r="A33" s="63"/>
      <c r="B33" s="58" t="s">
        <v>86</v>
      </c>
      <c r="C33" s="37"/>
      <c r="D33" s="85" t="s">
        <v>82</v>
      </c>
      <c r="E33" s="37"/>
      <c r="F33" s="59" t="s">
        <v>83</v>
      </c>
      <c r="G33" s="73"/>
      <c r="H33" s="74"/>
    </row>
    <row r="34" spans="1:8" ht="24.9" customHeight="1">
      <c r="A34" s="25"/>
      <c r="B34" s="80"/>
      <c r="C34" s="81"/>
      <c r="D34" s="21"/>
      <c r="E34" s="81"/>
      <c r="F34" s="43"/>
      <c r="G34" s="73"/>
      <c r="H34" s="74"/>
    </row>
    <row r="35" spans="1:8" ht="24.9" customHeight="1">
      <c r="A35" s="63"/>
      <c r="B35" s="142" t="s">
        <v>87</v>
      </c>
      <c r="C35" s="143"/>
      <c r="D35" s="143"/>
      <c r="E35" s="143"/>
      <c r="F35" s="144"/>
      <c r="G35" s="73"/>
      <c r="H35" s="74"/>
    </row>
    <row r="36" spans="1:8" ht="24.9" customHeight="1">
      <c r="A36" s="63"/>
      <c r="B36" s="86"/>
      <c r="C36" s="87"/>
      <c r="D36" s="87"/>
      <c r="E36" s="87"/>
      <c r="F36" s="88"/>
      <c r="G36" s="73"/>
      <c r="H36" s="74"/>
    </row>
    <row r="37" spans="1:8" ht="24.9" customHeight="1">
      <c r="A37" s="63"/>
      <c r="B37" s="89" t="s">
        <v>88</v>
      </c>
      <c r="C37" s="86"/>
      <c r="D37" s="90"/>
      <c r="E37" s="90"/>
      <c r="F37" s="91"/>
      <c r="G37" s="73"/>
      <c r="H37" s="74"/>
    </row>
    <row r="38" spans="1:8" ht="24.9" customHeight="1">
      <c r="A38" s="63"/>
      <c r="B38" s="28" t="s">
        <v>59</v>
      </c>
      <c r="C38" s="37"/>
      <c r="D38" s="38"/>
      <c r="E38" s="20"/>
      <c r="F38" s="36"/>
      <c r="G38" s="73"/>
      <c r="H38" s="74"/>
    </row>
    <row r="39" spans="1:8" ht="24.9" customHeight="1">
      <c r="A39" s="63"/>
      <c r="B39" s="44" t="s">
        <v>60</v>
      </c>
      <c r="C39" s="37"/>
      <c r="D39" s="39" t="s">
        <v>61</v>
      </c>
      <c r="E39" s="20"/>
      <c r="F39" s="36"/>
      <c r="G39" s="73"/>
      <c r="H39" s="74"/>
    </row>
    <row r="40" spans="1:8" ht="24.9" customHeight="1">
      <c r="A40" s="63"/>
      <c r="B40" s="44" t="s">
        <v>62</v>
      </c>
      <c r="C40" s="37"/>
      <c r="D40" s="38"/>
      <c r="E40" s="20"/>
      <c r="F40" s="36"/>
      <c r="G40" s="73"/>
      <c r="H40" s="74"/>
    </row>
    <row r="41" spans="1:8" ht="24.9" customHeight="1">
      <c r="A41" s="63"/>
      <c r="B41" s="44" t="s">
        <v>63</v>
      </c>
      <c r="C41" s="37"/>
      <c r="D41" s="76" t="s">
        <v>64</v>
      </c>
      <c r="E41" s="20"/>
      <c r="F41" s="36"/>
      <c r="G41" s="73"/>
      <c r="H41" s="74"/>
    </row>
    <row r="42" spans="1:8" ht="24.9" customHeight="1">
      <c r="A42" s="63"/>
      <c r="B42" s="44" t="s">
        <v>65</v>
      </c>
      <c r="C42" s="77" t="s">
        <v>66</v>
      </c>
      <c r="D42" s="37"/>
      <c r="E42" s="78" t="s">
        <v>67</v>
      </c>
      <c r="F42" s="36"/>
      <c r="G42" s="73"/>
      <c r="H42" s="74"/>
    </row>
    <row r="43" spans="1:8" ht="24.9" customHeight="1">
      <c r="A43" s="63"/>
      <c r="B43" s="79"/>
      <c r="C43" s="77" t="s">
        <v>68</v>
      </c>
      <c r="D43" s="37"/>
      <c r="E43" s="38"/>
      <c r="F43" s="36"/>
      <c r="G43" s="73"/>
      <c r="H43" s="74"/>
    </row>
    <row r="44" spans="1:8" ht="24.9" customHeight="1">
      <c r="A44" s="63"/>
      <c r="B44" s="79"/>
      <c r="C44" s="77" t="s">
        <v>69</v>
      </c>
      <c r="D44" s="37"/>
      <c r="E44" s="38"/>
      <c r="F44" s="36"/>
      <c r="G44" s="73"/>
      <c r="H44" s="74"/>
    </row>
    <row r="45" spans="1:8" ht="24.9" customHeight="1">
      <c r="A45" s="63"/>
      <c r="B45" s="79"/>
      <c r="C45" s="77" t="s">
        <v>70</v>
      </c>
      <c r="D45" s="37"/>
      <c r="E45" s="38"/>
      <c r="F45" s="36"/>
      <c r="G45" s="73"/>
      <c r="H45" s="74"/>
    </row>
    <row r="46" spans="1:8" ht="24.9" customHeight="1">
      <c r="A46" s="63"/>
      <c r="B46" s="44" t="s">
        <v>71</v>
      </c>
      <c r="C46" s="37"/>
      <c r="D46" s="46"/>
      <c r="E46" s="20"/>
      <c r="F46" s="36"/>
      <c r="G46" s="73"/>
      <c r="H46" s="74"/>
    </row>
    <row r="47" spans="1:8" ht="24.9" customHeight="1">
      <c r="A47" s="63"/>
      <c r="B47" s="44" t="s">
        <v>89</v>
      </c>
      <c r="C47" s="37"/>
      <c r="D47" s="39" t="s">
        <v>73</v>
      </c>
      <c r="E47" s="20"/>
      <c r="F47" s="36"/>
      <c r="G47" s="73"/>
      <c r="H47" s="74"/>
    </row>
    <row r="48" spans="1:8" ht="24.75" customHeight="1">
      <c r="A48" s="63"/>
      <c r="B48" s="44" t="s">
        <v>74</v>
      </c>
      <c r="C48" s="37"/>
      <c r="D48" s="38"/>
      <c r="E48" s="20"/>
      <c r="F48" s="36"/>
      <c r="G48" s="73"/>
      <c r="H48" s="74"/>
    </row>
    <row r="49" spans="1:8" ht="24.9" customHeight="1">
      <c r="A49" s="63"/>
      <c r="B49" s="44" t="s">
        <v>77</v>
      </c>
      <c r="C49" s="37"/>
      <c r="D49" s="39" t="s">
        <v>90</v>
      </c>
      <c r="E49" s="21"/>
      <c r="F49" s="36"/>
      <c r="G49" s="73"/>
      <c r="H49" s="74"/>
    </row>
    <row r="50" spans="1:8" ht="24.9" customHeight="1">
      <c r="A50" s="63"/>
      <c r="B50" s="44" t="s">
        <v>91</v>
      </c>
      <c r="C50" s="37"/>
      <c r="D50" s="85" t="s">
        <v>70</v>
      </c>
      <c r="E50" s="37"/>
      <c r="F50" s="59" t="s">
        <v>68</v>
      </c>
      <c r="G50" s="73"/>
      <c r="H50" s="74"/>
    </row>
    <row r="51" spans="1:8" ht="24.9" customHeight="1">
      <c r="A51" s="63"/>
      <c r="B51" s="44" t="s">
        <v>92</v>
      </c>
      <c r="C51" s="37"/>
      <c r="D51" s="85" t="s">
        <v>70</v>
      </c>
      <c r="E51" s="37"/>
      <c r="F51" s="59" t="s">
        <v>68</v>
      </c>
      <c r="G51" s="73"/>
      <c r="H51" s="74"/>
    </row>
    <row r="52" spans="1:8" ht="24.9" customHeight="1">
      <c r="A52" s="63"/>
      <c r="B52" s="44" t="s">
        <v>93</v>
      </c>
      <c r="C52" s="37"/>
      <c r="D52" s="85" t="s">
        <v>70</v>
      </c>
      <c r="E52" s="37"/>
      <c r="F52" s="59" t="s">
        <v>68</v>
      </c>
      <c r="G52" s="73"/>
      <c r="H52" s="74"/>
    </row>
    <row r="53" spans="1:8" ht="24.9" customHeight="1">
      <c r="A53" s="63"/>
      <c r="B53" s="58" t="s">
        <v>94</v>
      </c>
      <c r="C53" s="37"/>
      <c r="D53" s="38"/>
      <c r="E53" s="31"/>
      <c r="F53" s="36"/>
      <c r="G53" s="73"/>
      <c r="H53" s="74"/>
    </row>
    <row r="54" spans="1:8" ht="24.9" customHeight="1">
      <c r="A54" s="63"/>
      <c r="B54" s="92"/>
      <c r="C54" s="81"/>
      <c r="D54" s="21"/>
      <c r="E54" s="21"/>
      <c r="F54" s="43"/>
      <c r="G54" s="73"/>
      <c r="H54" s="74"/>
    </row>
    <row r="55" spans="1:8" ht="24.9" customHeight="1">
      <c r="A55" s="63"/>
      <c r="B55" s="89" t="s">
        <v>95</v>
      </c>
      <c r="C55" s="55"/>
      <c r="D55" s="31"/>
      <c r="E55" s="31"/>
      <c r="F55" s="32"/>
      <c r="G55" s="73"/>
      <c r="H55" s="74"/>
    </row>
    <row r="56" spans="1:8" ht="24.9" customHeight="1">
      <c r="A56" s="63"/>
      <c r="B56" s="28" t="s">
        <v>59</v>
      </c>
      <c r="C56" s="37"/>
      <c r="D56" s="38"/>
      <c r="E56" s="20"/>
      <c r="F56" s="36"/>
      <c r="G56" s="73"/>
      <c r="H56" s="74"/>
    </row>
    <row r="57" spans="1:8" ht="24.9" customHeight="1">
      <c r="A57" s="63"/>
      <c r="B57" s="44" t="s">
        <v>60</v>
      </c>
      <c r="C57" s="37"/>
      <c r="D57" s="39" t="s">
        <v>96</v>
      </c>
      <c r="E57" s="20"/>
      <c r="F57" s="36"/>
      <c r="G57" s="73"/>
      <c r="H57" s="74"/>
    </row>
    <row r="58" spans="1:8" ht="24.9" customHeight="1">
      <c r="A58" s="63"/>
      <c r="B58" s="44" t="s">
        <v>62</v>
      </c>
      <c r="C58" s="37"/>
      <c r="D58" s="40"/>
      <c r="E58" s="20"/>
      <c r="F58" s="36"/>
      <c r="G58" s="73"/>
      <c r="H58" s="74"/>
    </row>
    <row r="59" spans="1:8" ht="24.9" customHeight="1">
      <c r="A59" s="63"/>
      <c r="B59" s="44" t="s">
        <v>65</v>
      </c>
      <c r="C59" s="77" t="s">
        <v>97</v>
      </c>
      <c r="D59" s="37"/>
      <c r="E59" s="78" t="s">
        <v>67</v>
      </c>
      <c r="F59" s="36"/>
      <c r="G59" s="73"/>
      <c r="H59" s="74"/>
    </row>
    <row r="60" spans="1:8" ht="24.9" customHeight="1">
      <c r="A60" s="63"/>
      <c r="B60" s="79"/>
      <c r="C60" s="77" t="s">
        <v>68</v>
      </c>
      <c r="D60" s="37"/>
      <c r="E60" s="38"/>
      <c r="F60" s="36"/>
      <c r="G60" s="73"/>
      <c r="H60" s="74"/>
    </row>
    <row r="61" spans="1:8" ht="24.9" customHeight="1">
      <c r="A61" s="63"/>
      <c r="B61" s="79"/>
      <c r="C61" s="77" t="s">
        <v>69</v>
      </c>
      <c r="D61" s="37"/>
      <c r="E61" s="38"/>
      <c r="F61" s="36"/>
      <c r="G61" s="73"/>
      <c r="H61" s="74"/>
    </row>
    <row r="62" spans="1:8" ht="24.9" customHeight="1">
      <c r="A62" s="63"/>
      <c r="B62" s="79"/>
      <c r="C62" s="77" t="s">
        <v>70</v>
      </c>
      <c r="D62" s="37"/>
      <c r="E62" s="38"/>
      <c r="F62" s="36"/>
      <c r="G62" s="73"/>
      <c r="H62" s="74"/>
    </row>
    <row r="63" spans="1:8" ht="24.9" customHeight="1">
      <c r="A63" s="63"/>
      <c r="B63" s="44" t="s">
        <v>71</v>
      </c>
      <c r="C63" s="37"/>
      <c r="D63" s="46"/>
      <c r="E63" s="20"/>
      <c r="F63" s="36"/>
      <c r="G63" s="73"/>
      <c r="H63" s="74"/>
    </row>
    <row r="64" spans="1:8" ht="24.9" customHeight="1">
      <c r="A64" s="63"/>
      <c r="B64" s="44" t="s">
        <v>98</v>
      </c>
      <c r="C64" s="37"/>
      <c r="D64" s="39" t="s">
        <v>99</v>
      </c>
      <c r="E64" s="20"/>
      <c r="F64" s="36"/>
      <c r="G64" s="73"/>
      <c r="H64" s="74"/>
    </row>
    <row r="65" spans="1:8" ht="24.9" customHeight="1">
      <c r="A65" s="63"/>
      <c r="B65" s="58" t="s">
        <v>100</v>
      </c>
      <c r="C65" s="37"/>
      <c r="D65" s="39" t="s">
        <v>101</v>
      </c>
      <c r="E65" s="20"/>
      <c r="F65" s="36"/>
      <c r="G65" s="73"/>
      <c r="H65" s="74"/>
    </row>
    <row r="66" spans="1:8" ht="24.9" customHeight="1">
      <c r="A66" s="67"/>
      <c r="B66" s="68"/>
      <c r="C66" s="69"/>
      <c r="D66" s="70"/>
      <c r="E66" s="70"/>
      <c r="F66" s="71"/>
      <c r="G66" s="73"/>
      <c r="H66" s="74"/>
    </row>
    <row r="67" spans="1:8" ht="24.9" customHeight="1">
      <c r="A67" s="93"/>
      <c r="B67" s="94"/>
      <c r="C67" s="93"/>
      <c r="D67" s="93"/>
      <c r="E67" s="93"/>
      <c r="F67" s="93"/>
      <c r="G67" s="95"/>
      <c r="H67" s="74"/>
    </row>
    <row r="68" spans="1:8" ht="24.9" customHeight="1">
      <c r="A68" s="20"/>
      <c r="B68" s="48"/>
      <c r="C68" s="20"/>
      <c r="D68" s="20"/>
      <c r="E68" s="20"/>
      <c r="F68" s="20"/>
      <c r="G68" s="95"/>
      <c r="H68" s="74"/>
    </row>
    <row r="69" spans="1:8" ht="24.9" customHeight="1">
      <c r="A69" s="20"/>
      <c r="B69" s="48"/>
      <c r="C69" s="20"/>
      <c r="D69" s="20"/>
      <c r="E69" s="20"/>
      <c r="F69" s="20"/>
      <c r="G69" s="95"/>
      <c r="H69" s="74"/>
    </row>
    <row r="70" spans="1:8" ht="24.9" customHeight="1">
      <c r="A70" s="20"/>
      <c r="B70" s="48"/>
      <c r="C70" s="20"/>
      <c r="D70" s="20"/>
      <c r="E70" s="20"/>
      <c r="F70" s="20"/>
      <c r="G70" s="95"/>
      <c r="H70" s="74"/>
    </row>
    <row r="71" spans="1:8" ht="24.9" customHeight="1">
      <c r="A71" s="20"/>
      <c r="B71" s="48"/>
      <c r="C71" s="20"/>
      <c r="D71" s="20"/>
      <c r="E71" s="20"/>
      <c r="F71" s="20"/>
      <c r="G71" s="95"/>
      <c r="H71" s="74"/>
    </row>
    <row r="72" spans="1:8" ht="24.9" customHeight="1">
      <c r="A72" s="20"/>
      <c r="B72" s="48"/>
      <c r="C72" s="20"/>
      <c r="D72" s="20"/>
      <c r="E72" s="20"/>
      <c r="F72" s="20"/>
      <c r="G72" s="95"/>
      <c r="H72" s="74"/>
    </row>
    <row r="73" spans="1:8" ht="24.9" customHeight="1">
      <c r="A73" s="20"/>
      <c r="B73" s="48"/>
      <c r="C73" s="20"/>
      <c r="D73" s="20"/>
      <c r="E73" s="20"/>
      <c r="F73" s="20"/>
      <c r="G73" s="95"/>
      <c r="H73" s="74"/>
    </row>
    <row r="74" spans="1:8" ht="24.9" customHeight="1">
      <c r="A74" s="20"/>
      <c r="B74" s="48"/>
      <c r="C74" s="20"/>
      <c r="D74" s="20"/>
      <c r="E74" s="20"/>
      <c r="F74" s="20"/>
      <c r="G74" s="95"/>
      <c r="H74" s="74"/>
    </row>
    <row r="75" spans="1:8" ht="24.9" customHeight="1">
      <c r="A75" s="20"/>
      <c r="B75" s="48"/>
      <c r="C75" s="20"/>
      <c r="D75" s="20"/>
      <c r="E75" s="20"/>
      <c r="F75" s="20"/>
      <c r="G75" s="95"/>
      <c r="H75" s="74"/>
    </row>
  </sheetData>
  <mergeCells count="4">
    <mergeCell ref="A2:F2"/>
    <mergeCell ref="B35:F35"/>
    <mergeCell ref="B19:F19"/>
    <mergeCell ref="B6:F6"/>
  </mergeCells>
  <pageMargins left="1" right="1" top="1" bottom="1" header="0.25" footer="0.25"/>
  <pageSetup scale="34" orientation="portrait" r:id="rId1"/>
  <headerFooter>
    <oddHeader>&amp;L&amp;"Arial,Regular"&amp;10&amp;K000000Data Sheet  Bradken - Original.lFZocD.xls</oddHeader>
    <oddFooter>&amp;L&amp;"Arial,Regular"&amp;10&amp;K000000BMP-0401 Rev 3	Liner Details	Page 2 of 2</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Export Summary</vt:lpstr>
      <vt:lpstr>Mill &amp; Process Data</vt:lpstr>
      <vt:lpstr>Liner Details</vt:lpstr>
      <vt:lpstr>'Mill &amp; Process Data'!Print_Area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Mantas</dc:creator>
  <cp:lastModifiedBy>Bodhmage, Abhaykumar</cp:lastModifiedBy>
  <cp:lastPrinted>2019-10-15T17:28:08Z</cp:lastPrinted>
  <dcterms:created xsi:type="dcterms:W3CDTF">2019-08-08T15:21:05Z</dcterms:created>
  <dcterms:modified xsi:type="dcterms:W3CDTF">2021-04-27T16:32:28Z</dcterms:modified>
</cp:coreProperties>
</file>